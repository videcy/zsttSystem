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主修专业培养方案" sheetId="1" r:id="rId1"/>
  </sheets>
  <definedNames>
    <definedName name="_xlnm._FilterDatabase" localSheetId="0" hidden="1">主修专业培养方案!$A$24:$Q$136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A3" authorId="0">
      <text>
        <r>
          <rPr>
            <b/>
            <sz val="9"/>
            <rFont val="宋体"/>
            <charset val="134"/>
          </rPr>
          <t>作者:</t>
        </r>
        <r>
          <rPr>
            <sz val="9"/>
            <rFont val="宋体"/>
            <charset val="134"/>
          </rPr>
          <t xml:space="preserve">
统一表述的部分请勿更改，各专业结合专业实际补充后半部分即可。</t>
        </r>
      </text>
    </comment>
    <comment ref="P23" authorId="0">
      <text>
        <r>
          <rPr>
            <b/>
            <sz val="9"/>
            <rFont val="宋体"/>
            <charset val="134"/>
          </rPr>
          <t>作者:</t>
        </r>
        <r>
          <rPr>
            <sz val="9"/>
            <rFont val="宋体"/>
            <charset val="134"/>
          </rPr>
          <t xml:space="preserve">
每一门课程均须勾选对应的毕业要求，一门课程可以对应多个毕业要求。</t>
        </r>
      </text>
    </comment>
    <comment ref="M27" authorId="0">
      <text>
        <r>
          <rPr>
            <b/>
            <sz val="9"/>
            <rFont val="宋体"/>
            <charset val="134"/>
          </rPr>
          <t>作者:</t>
        </r>
        <r>
          <rPr>
            <sz val="9"/>
            <rFont val="宋体"/>
            <charset val="134"/>
          </rPr>
          <t xml:space="preserve">
根据马克思主义学院的安排选择相应的学期。</t>
        </r>
      </text>
    </comment>
    <comment ref="M28" authorId="0">
      <text>
        <r>
          <rPr>
            <b/>
            <sz val="9"/>
            <rFont val="宋体"/>
            <charset val="134"/>
          </rPr>
          <t>作者:</t>
        </r>
        <r>
          <rPr>
            <sz val="9"/>
            <rFont val="宋体"/>
            <charset val="134"/>
          </rPr>
          <t xml:space="preserve">
根据马克思主义学院的安排选择相应的学期。</t>
        </r>
      </text>
    </comment>
    <comment ref="M29" authorId="0">
      <text>
        <r>
          <rPr>
            <b/>
            <sz val="9"/>
            <rFont val="宋体"/>
            <charset val="134"/>
          </rPr>
          <t>作者:</t>
        </r>
        <r>
          <rPr>
            <sz val="9"/>
            <rFont val="宋体"/>
            <charset val="134"/>
          </rPr>
          <t xml:space="preserve">
根据马克思主义学院的安排选择相应的学期。</t>
        </r>
      </text>
    </comment>
    <comment ref="M30" authorId="0">
      <text>
        <r>
          <rPr>
            <b/>
            <sz val="9"/>
            <rFont val="宋体"/>
            <charset val="134"/>
          </rPr>
          <t>作者:</t>
        </r>
        <r>
          <rPr>
            <sz val="9"/>
            <rFont val="宋体"/>
            <charset val="134"/>
          </rPr>
          <t xml:space="preserve">
根据马克思主义学院的安排选择相应的学期。</t>
        </r>
      </text>
    </comment>
    <comment ref="M31" authorId="0">
      <text>
        <r>
          <rPr>
            <b/>
            <sz val="9"/>
            <rFont val="宋体"/>
            <charset val="134"/>
          </rPr>
          <t>作者:</t>
        </r>
        <r>
          <rPr>
            <sz val="9"/>
            <rFont val="宋体"/>
            <charset val="134"/>
          </rPr>
          <t xml:space="preserve">
根据马克思主义学院的安排选择相应的学期。</t>
        </r>
      </text>
    </comment>
    <comment ref="C32" authorId="0">
      <text>
        <r>
          <rPr>
            <b/>
            <sz val="9"/>
            <rFont val="宋体"/>
            <charset val="134"/>
          </rPr>
          <t>作者:</t>
        </r>
        <r>
          <rPr>
            <sz val="9"/>
            <rFont val="宋体"/>
            <charset val="134"/>
          </rPr>
          <t xml:space="preserve">
四选一，根据马克思主义学院的安排选择其中一门课程。</t>
        </r>
      </text>
    </comment>
    <comment ref="D32" authorId="0">
      <text>
        <r>
          <rPr>
            <b/>
            <sz val="9"/>
            <rFont val="宋体"/>
            <charset val="134"/>
          </rPr>
          <t>作者:</t>
        </r>
        <r>
          <rPr>
            <sz val="9"/>
            <rFont val="宋体"/>
            <charset val="134"/>
          </rPr>
          <t xml:space="preserve">
四选一，根据马克思主义学院的安排选择其中一门课程。</t>
        </r>
      </text>
    </comment>
    <comment ref="M32" authorId="0">
      <text>
        <r>
          <rPr>
            <b/>
            <sz val="9"/>
            <rFont val="宋体"/>
            <charset val="134"/>
          </rPr>
          <t>作者:</t>
        </r>
        <r>
          <rPr>
            <sz val="9"/>
            <rFont val="宋体"/>
            <charset val="134"/>
          </rPr>
          <t xml:space="preserve">
根据马克思主义学院的安排选择相应的课程及学期。该课程为四选一，只选择其中一个即可。</t>
        </r>
      </text>
    </comment>
    <comment ref="M33" authorId="0">
      <text>
        <r>
          <rPr>
            <b/>
            <sz val="9"/>
            <rFont val="宋体"/>
            <charset val="134"/>
          </rPr>
          <t>作者:</t>
        </r>
        <r>
          <rPr>
            <sz val="9"/>
            <rFont val="宋体"/>
            <charset val="134"/>
          </rPr>
          <t xml:space="preserve">
五年制的专业，该课程开课学期为1-10。</t>
        </r>
      </text>
    </comment>
    <comment ref="M34" authorId="0">
      <text>
        <r>
          <rPr>
            <b/>
            <sz val="9"/>
            <rFont val="宋体"/>
            <charset val="134"/>
          </rPr>
          <t>作者:</t>
        </r>
        <r>
          <rPr>
            <sz val="9"/>
            <rFont val="宋体"/>
            <charset val="134"/>
          </rPr>
          <t xml:space="preserve">
五年制的专业，该课程开课学期为1-10。</t>
        </r>
      </text>
    </comment>
    <comment ref="M36" authorId="0">
      <text>
        <r>
          <rPr>
            <b/>
            <sz val="9"/>
            <rFont val="宋体"/>
            <charset val="134"/>
          </rPr>
          <t>作者:</t>
        </r>
        <r>
          <rPr>
            <sz val="9"/>
            <rFont val="宋体"/>
            <charset val="134"/>
          </rPr>
          <t xml:space="preserve">
五年制的专业，该课程开课学期为1-10。</t>
        </r>
      </text>
    </comment>
    <comment ref="M38" authorId="0">
      <text>
        <r>
          <rPr>
            <b/>
            <sz val="9"/>
            <rFont val="宋体"/>
            <charset val="134"/>
          </rPr>
          <t>作者:</t>
        </r>
        <r>
          <rPr>
            <sz val="9"/>
            <rFont val="宋体"/>
            <charset val="134"/>
          </rPr>
          <t xml:space="preserve">
五年制的专业，该项开课学期为1-10。</t>
        </r>
      </text>
    </comment>
    <comment ref="B39" authorId="0">
      <text>
        <r>
          <rPr>
            <b/>
            <sz val="9"/>
            <rFont val="宋体"/>
            <charset val="134"/>
          </rPr>
          <t>作者:</t>
        </r>
        <r>
          <rPr>
            <sz val="9"/>
            <rFont val="宋体"/>
            <charset val="134"/>
          </rPr>
          <t xml:space="preserve">
只能在各大类设定的共同基础课清单里选择。</t>
        </r>
      </text>
    </comment>
    <comment ref="B59" authorId="0">
      <text>
        <r>
          <rPr>
            <b/>
            <sz val="9"/>
            <rFont val="宋体"/>
            <charset val="134"/>
          </rPr>
          <t>作者:</t>
        </r>
        <r>
          <rPr>
            <sz val="9"/>
            <rFont val="宋体"/>
            <charset val="134"/>
          </rPr>
          <t xml:space="preserve">
毕业论文，如为必修的学年论文、见实习、创新实践类课程均纳入专业实践课范畴。</t>
        </r>
      </text>
    </comment>
    <comment ref="B62" authorId="0">
      <text>
        <r>
          <rPr>
            <b/>
            <sz val="9"/>
            <rFont val="宋体"/>
            <charset val="134"/>
          </rPr>
          <t>作者:</t>
        </r>
        <r>
          <rPr>
            <sz val="9"/>
            <rFont val="宋体"/>
            <charset val="134"/>
          </rPr>
          <t xml:space="preserve">
自行命名，专业选修课建议按模块设置，方便学生修读。</t>
        </r>
      </text>
    </comment>
    <comment ref="B90" authorId="0">
      <text>
        <r>
          <rPr>
            <b/>
            <sz val="9"/>
            <rFont val="宋体"/>
            <charset val="134"/>
          </rPr>
          <t>作者:</t>
        </r>
        <r>
          <rPr>
            <sz val="9"/>
            <rFont val="宋体"/>
            <charset val="134"/>
          </rPr>
          <t xml:space="preserve">
自行命名，专业选修课建议按模块设置，方便学生修读。</t>
        </r>
      </text>
    </comment>
    <comment ref="B105" authorId="0">
      <text>
        <r>
          <rPr>
            <b/>
            <sz val="9"/>
            <rFont val="宋体"/>
            <charset val="134"/>
          </rPr>
          <t>作者:</t>
        </r>
        <r>
          <rPr>
            <sz val="9"/>
            <rFont val="宋体"/>
            <charset val="134"/>
          </rPr>
          <t xml:space="preserve">
自行命名，专业选修课建议按模块设置，方便学生修读。</t>
        </r>
      </text>
    </comment>
    <comment ref="F127" authorId="0">
      <text>
        <r>
          <rPr>
            <b/>
            <sz val="9"/>
            <rFont val="宋体"/>
            <charset val="134"/>
          </rPr>
          <t>作者:</t>
        </r>
        <r>
          <rPr>
            <sz val="9"/>
            <rFont val="宋体"/>
            <charset val="134"/>
          </rPr>
          <t xml:space="preserve">
专选开设学分应大于建议修读学分，避免专选课变相成为必修课。</t>
        </r>
      </text>
    </comment>
    <comment ref="G127" authorId="0">
      <text>
        <r>
          <rPr>
            <b/>
            <sz val="9"/>
            <rFont val="宋体"/>
            <charset val="134"/>
          </rPr>
          <t>作者:</t>
        </r>
        <r>
          <rPr>
            <sz val="9"/>
            <rFont val="宋体"/>
            <charset val="134"/>
          </rPr>
          <t xml:space="preserve">
专选建议修读学分须综合考虑公必、专必的安排，合情合理。</t>
        </r>
      </text>
    </comment>
    <comment ref="G136" authorId="0">
      <text>
        <r>
          <rPr>
            <b/>
            <sz val="9"/>
            <rFont val="宋体"/>
            <charset val="134"/>
          </rPr>
          <t>作者:</t>
        </r>
        <r>
          <rPr>
            <sz val="9"/>
            <rFont val="宋体"/>
            <charset val="134"/>
          </rPr>
          <t xml:space="preserve">
所有学期专业选修课建议修读学分的总和等于毕业要求里专选学分的要求。</t>
        </r>
      </text>
    </comment>
  </commentList>
</comments>
</file>

<file path=xl/sharedStrings.xml><?xml version="1.0" encoding="utf-8"?>
<sst xmlns="http://schemas.openxmlformats.org/spreadsheetml/2006/main" count="745" uniqueCount="376">
  <si>
    <t>信息管理学院2025级图书馆学专业培养方案</t>
  </si>
  <si>
    <t>一、培养目标</t>
  </si>
  <si>
    <t>本专业坚持社会主义办学方向，全面落实立德树人根本任务，聚焦培养引领未来的创造性人才，坚持以学生成长为中心，坚持通识教育与专业教育相结合、集中大类培养与专业培养相结合，着力提升学生的学习力、思想力、行动力，强化数智素养和人工智能应用能力，培养德智体美劳全面发展的社会主义建设者和接班人，同时具备开放国际视野、系统的图书馆学基本理论和技术方法以及职业伦理，适应国家文化战略以及文化数字化发展的重大需求，胜任现代公共文化服务体系、文化遗产保护传承利用体系、古籍整理与保护、全民阅读推广、智慧图书馆等领域专业工作的创新型人才。</t>
  </si>
  <si>
    <t>二、毕业要求</t>
  </si>
  <si>
    <r>
      <rPr>
        <b/>
        <sz val="14"/>
        <color theme="1"/>
        <rFont val="仿宋"/>
        <charset val="134"/>
      </rPr>
      <t>知识层面</t>
    </r>
    <r>
      <rPr>
        <sz val="12"/>
        <color theme="1"/>
        <rFont val="仿宋"/>
        <charset val="134"/>
      </rPr>
      <t xml:space="preserve">
毕业要求1：掌握图书馆学的基本原理和基本理论、图书馆与图书馆学历史、图书馆管理的核心知识、全球以及我国图书馆事业和公共文化服务的政策方针与法律法规。
毕业要求2：掌握信息资源收集、组织、检索、分析、评价、服务、保护以及信息素养教育的专业技术方法。
毕业要求3：掌握图书馆学研究方法，能综合运用专业知识和理论针对国家文化战略以及文化数字化发展中的科学问题和现实需求开展学术研究、提出解决方案。
毕业要求4：了解图书馆学与信息资源管理学科中的其他二级学科，以及与计算机、人文社会科学等学科的关系，理解图书馆学在全球背景下社会可持续发展、知识的生产、信息与文化的公平共享与交流、文献文化遗产的保护和传承中所发挥的作用，掌握学科交叉创新所需的知识基础。
</t>
    </r>
    <r>
      <rPr>
        <b/>
        <sz val="14"/>
        <color theme="1"/>
        <rFont val="仿宋"/>
        <charset val="134"/>
      </rPr>
      <t>能力层面</t>
    </r>
    <r>
      <rPr>
        <sz val="12"/>
        <color theme="1"/>
        <rFont val="仿宋"/>
        <charset val="134"/>
      </rPr>
      <t xml:space="preserve">
毕业要求5：具备开展公共文化服务与信息服务的职业能力、独立从事科学研究的能力。
毕业要求6：具备组织管理能力、社交沟通能力和领导能力，具备全球视野和现代意识。
毕业要求7：具备熟练运用外语进行阅读、同行交流和写作能力。
毕业要求8：拥有获取知识和进行终身学习的能力，富有创新精神和创造性思维，对新观念、新理论、新技术保持敏感和理性判断的能力。
</t>
    </r>
    <r>
      <rPr>
        <b/>
        <sz val="14"/>
        <color theme="1"/>
        <rFont val="仿宋"/>
        <charset val="134"/>
      </rPr>
      <t>价值层面</t>
    </r>
    <r>
      <rPr>
        <sz val="12"/>
        <color theme="1"/>
        <rFont val="仿宋"/>
        <charset val="134"/>
      </rPr>
      <t xml:space="preserve">
毕业要求9：热爱祖国，拥护中国共产党的领导，拥护社会主义制度，政治立场坚定，遵纪守法，诚实守信。
毕业要求10：拥有健全人格、思辨精神和社会责任感，立志扎根中国大地，服务社会主义建设。
毕业要求11：拥有高尚的道德品质，具备正确的职业价值观、良好的职业伦理和学术伦理，具有团队意识和合作精神。
毕业要求12：具有健全的心理素质和健康的体格，拥有正确的世界观、人生观和价值观。</t>
    </r>
  </si>
  <si>
    <t>三、授予学位与修业年限</t>
  </si>
  <si>
    <t>1.按要求完成学业者授予管理学学士学位。
2.修业年限：4年。</t>
  </si>
  <si>
    <t>四、毕业总学分及课内总学时</t>
  </si>
  <si>
    <t>课程类别</t>
  </si>
  <si>
    <t>学分要求</t>
  </si>
  <si>
    <t>所占比例</t>
  </si>
  <si>
    <t>课程属性</t>
  </si>
  <si>
    <t>公共必修课
（通识必修课）</t>
  </si>
  <si>
    <t>公必</t>
  </si>
  <si>
    <t>公共选修课
（通识选修课）</t>
  </si>
  <si>
    <t>公选</t>
  </si>
  <si>
    <t>专业必修课</t>
  </si>
  <si>
    <t>大类基础课</t>
  </si>
  <si>
    <t>专必</t>
  </si>
  <si>
    <t>专业基础课</t>
  </si>
  <si>
    <t>专业核心课</t>
  </si>
  <si>
    <t>专业实践课</t>
  </si>
  <si>
    <t>专业选修课</t>
  </si>
  <si>
    <t>专选</t>
  </si>
  <si>
    <t>荣誉课程</t>
  </si>
  <si>
    <t>不列入毕业总学分要求</t>
  </si>
  <si>
    <t>总学分</t>
  </si>
  <si>
    <t>毕业总学分：</t>
  </si>
  <si>
    <t>学分。</t>
  </si>
  <si>
    <t>其中实践教学学分（含必修类实践课程和选修类实践课程）须达到：</t>
  </si>
  <si>
    <t>实践教学占总学分比例：</t>
  </si>
  <si>
    <t>总学时</t>
  </si>
  <si>
    <r>
      <t>共</t>
    </r>
    <r>
      <rPr>
        <u/>
        <sz val="12"/>
        <color theme="1"/>
        <rFont val="仿宋"/>
        <charset val="134"/>
      </rPr>
      <t xml:space="preserve">  2691    </t>
    </r>
    <r>
      <rPr>
        <sz val="12"/>
        <color theme="1"/>
        <rFont val="仿宋"/>
        <charset val="134"/>
      </rPr>
      <t xml:space="preserve">学时 + </t>
    </r>
    <r>
      <rPr>
        <u/>
        <sz val="12"/>
        <color theme="1"/>
        <rFont val="仿宋"/>
        <charset val="134"/>
      </rPr>
      <t xml:space="preserve">   18    </t>
    </r>
    <r>
      <rPr>
        <sz val="12"/>
        <color theme="1"/>
        <rFont val="仿宋"/>
        <charset val="134"/>
      </rPr>
      <t>周</t>
    </r>
  </si>
  <si>
    <t>备注</t>
  </si>
  <si>
    <t xml:space="preserve">荣誉学位授予要求：
一：学生按要求修读完成不少于18学分荣誉课程。 
二：学生本科期间主修课程、荣誉课程平均学分绩点均达到优秀（绩点≥3.5）。
三：学生取得主修专业毕业资格和学位授予资格，且在读期间参加至少一个大学生创新创业训练计划项目并通过结项。 
四：根据荣誉课程平均学分绩点的专业排名由高到低排序，授予荣誉学位的学生不超过当届该专业毕业生的10%。 </t>
  </si>
  <si>
    <t>五、课程设置及教学计划</t>
  </si>
  <si>
    <t>课程细类</t>
  </si>
  <si>
    <t>课程编码</t>
  </si>
  <si>
    <t>课程中文名称/英文名称</t>
  </si>
  <si>
    <t>学分情况</t>
  </si>
  <si>
    <t>学时情况</t>
  </si>
  <si>
    <t>开课学期</t>
  </si>
  <si>
    <t>课程负责人</t>
  </si>
  <si>
    <t>是否荣誉课程</t>
  </si>
  <si>
    <t>对应毕业要求</t>
  </si>
  <si>
    <t>是否基础课程权重制课程</t>
  </si>
  <si>
    <t>理论学分</t>
  </si>
  <si>
    <t>实验实践学分</t>
  </si>
  <si>
    <t>理论学时</t>
  </si>
  <si>
    <t>实验实践学时</t>
  </si>
  <si>
    <t>公共必修课</t>
  </si>
  <si>
    <t>FL101 FL102
FL201 FL202</t>
  </si>
  <si>
    <t>大学外语
College foreign language</t>
  </si>
  <si>
    <t>1-4</t>
  </si>
  <si>
    <t>/</t>
  </si>
  <si>
    <t>否</t>
  </si>
  <si>
    <t>PE101 PE102 PE201 PE202
PE305 PE302</t>
  </si>
  <si>
    <t>体育
Physical Education</t>
  </si>
  <si>
    <t>1-6</t>
  </si>
  <si>
    <t>MAR112</t>
  </si>
  <si>
    <t>思想道德与法治
Moral Character Cultivation and Basis of Law</t>
  </si>
  <si>
    <t>9-12</t>
  </si>
  <si>
    <t>MAR103</t>
  </si>
  <si>
    <t>中国近现代史纲要
Contemporary History of China</t>
  </si>
  <si>
    <t>9-10</t>
  </si>
  <si>
    <t>MAR207</t>
  </si>
  <si>
    <t>毛泽东思想和中国特色社会主义理论体系概论
Introduction of Mao Zedong Thought and the Theoretical System of Socialism with Chinese Characteristics</t>
  </si>
  <si>
    <t>MAR202</t>
  </si>
  <si>
    <t>马克思主义基本原理
The Principles of Marxism</t>
  </si>
  <si>
    <t>MAR115</t>
  </si>
  <si>
    <t>习近平新时代中国特色社会主义思想概论
The Introduction of Xi Jin Ping’s Thought on Socialism with Chinese Characteristics for a New Era</t>
  </si>
  <si>
    <t xml:space="preserve">MAR110
</t>
  </si>
  <si>
    <t>四史（新中国史）
The history of new China</t>
  </si>
  <si>
    <t>MAR114</t>
  </si>
  <si>
    <t>形势与政策
Current Situation and Policy</t>
  </si>
  <si>
    <t>1-8</t>
  </si>
  <si>
    <t>PUB199</t>
  </si>
  <si>
    <t>国家安全教育
National Security Education</t>
  </si>
  <si>
    <t>1-2</t>
  </si>
  <si>
    <t>PUB121</t>
  </si>
  <si>
    <t>军事课
Military Course</t>
  </si>
  <si>
    <t>36+2周</t>
  </si>
  <si>
    <t>2周</t>
  </si>
  <si>
    <t>PUB178</t>
  </si>
  <si>
    <t>劳动教育
Labor Education</t>
  </si>
  <si>
    <t>PSY199</t>
  </si>
  <si>
    <t>心理健康教育
Mental Health Education</t>
  </si>
  <si>
    <t>公共选修课</t>
  </si>
  <si>
    <t>学生自主选修</t>
  </si>
  <si>
    <t>（1）分为人文与社会、科技与未来、生命与健康、艺术与审美四个模块，最低学分要求为 8 学分，其中须包含 2 学分“艺术与审美”课程。
（2）学生自主修读且未列入本方案的跨院系课程可计入公共选修课学分。</t>
  </si>
  <si>
    <t>≥144</t>
  </si>
  <si>
    <t>8-12</t>
  </si>
  <si>
    <t>MA198</t>
  </si>
  <si>
    <r>
      <rPr>
        <sz val="11"/>
        <rFont val="仿宋"/>
        <charset val="134"/>
      </rPr>
      <t>文科数学
Advanced</t>
    </r>
    <r>
      <rPr>
        <sz val="11"/>
        <rFont val="Arial"/>
        <charset val="134"/>
      </rPr>
      <t> </t>
    </r>
    <r>
      <rPr>
        <sz val="11"/>
        <rFont val="仿宋"/>
        <charset val="134"/>
      </rPr>
      <t>Mathematics</t>
    </r>
  </si>
  <si>
    <t>黄景炽</t>
  </si>
  <si>
    <t>IM154</t>
  </si>
  <si>
    <t>社会记忆与文化传承
Social Memory and Cultural Heritage</t>
  </si>
  <si>
    <t>张靖</t>
  </si>
  <si>
    <t>1、4、5、10</t>
  </si>
  <si>
    <t>IM156</t>
  </si>
  <si>
    <t>人工智能导论（人文社科）</t>
  </si>
  <si>
    <t>人工智能学院</t>
  </si>
  <si>
    <t>2、4</t>
  </si>
  <si>
    <t>IM121</t>
  </si>
  <si>
    <t>信息管理学基础
Principles of Information Management</t>
  </si>
  <si>
    <t>张洋，侯剑华</t>
  </si>
  <si>
    <t>1、4、5</t>
  </si>
  <si>
    <t>是</t>
  </si>
  <si>
    <t>IM129</t>
  </si>
  <si>
    <t>信息管理编程基础
Programming Fundamentals of Information Management</t>
  </si>
  <si>
    <t>徐健，余厚强，张洞</t>
  </si>
  <si>
    <t>2、3、8</t>
  </si>
  <si>
    <t>IM109</t>
  </si>
  <si>
    <t>管理学原理
Principles &amp; Applications of Management</t>
  </si>
  <si>
    <t>侯剑华，彭国超</t>
  </si>
  <si>
    <t>4、6</t>
  </si>
  <si>
    <t>IM2102</t>
  </si>
  <si>
    <t>数据库应用
Database Application</t>
  </si>
  <si>
    <t>冯小东，李岱峰</t>
  </si>
  <si>
    <t>2、5</t>
  </si>
  <si>
    <t>IM282</t>
  </si>
  <si>
    <t>信息检索
Information Retrieval</t>
  </si>
  <si>
    <t>陈明红</t>
  </si>
  <si>
    <t>1-5</t>
  </si>
  <si>
    <t>IM245</t>
  </si>
  <si>
    <t>信息描述
Information Description</t>
  </si>
  <si>
    <t>宋琳琳</t>
  </si>
  <si>
    <t>IM289</t>
  </si>
  <si>
    <t>图书馆学基础
Foundation of Library Science</t>
  </si>
  <si>
    <t>IM206</t>
  </si>
  <si>
    <t>信息资源共享
Information Resource Sharing</t>
  </si>
  <si>
    <t>程焕文，周旖</t>
  </si>
  <si>
    <t>IM252</t>
  </si>
  <si>
    <t>信息分类与标引
Information Classification and Indexing</t>
  </si>
  <si>
    <t>信息分类与标引</t>
  </si>
  <si>
    <t>IM351</t>
  </si>
  <si>
    <t>信息素养
Information Literacy</t>
  </si>
  <si>
    <t>信息素养</t>
  </si>
  <si>
    <t>潘燕桃，余维杰</t>
  </si>
  <si>
    <t>1-5、8</t>
  </si>
  <si>
    <t>IM303</t>
  </si>
  <si>
    <t>文献保护与修复
Preservation and Conservation</t>
  </si>
  <si>
    <t>周旖</t>
  </si>
  <si>
    <t>IM122</t>
  </si>
  <si>
    <t>信息伦理与政策
Information Ethics and Policies</t>
  </si>
  <si>
    <t>唐琼</t>
  </si>
  <si>
    <t>1-5、11</t>
  </si>
  <si>
    <t>IM373</t>
  </si>
  <si>
    <t>图书馆管理
Library Management</t>
  </si>
  <si>
    <t>程焕文</t>
  </si>
  <si>
    <t>IM204</t>
  </si>
  <si>
    <t>图书与图书馆史
History of Books and Libraries</t>
  </si>
  <si>
    <t>肖鹏</t>
  </si>
  <si>
    <t>IM301</t>
  </si>
  <si>
    <t>数字图书馆
Digital Libraries</t>
  </si>
  <si>
    <t>数字图书馆</t>
  </si>
  <si>
    <t>陈定权</t>
  </si>
  <si>
    <t>IM394</t>
  </si>
  <si>
    <t>目录学
Bibliography</t>
  </si>
  <si>
    <t>目录学</t>
  </si>
  <si>
    <t>IM439</t>
  </si>
  <si>
    <t>信息用户与参考咨询服务
Information User and Consultation Service</t>
  </si>
  <si>
    <t>李晶，陈明红，陈涛</t>
  </si>
  <si>
    <t>IM3121</t>
  </si>
  <si>
    <t>科研创新实践
Scientific research innovation practice</t>
  </si>
  <si>
    <t>各指导老师</t>
  </si>
  <si>
    <t>5-8、10、11</t>
  </si>
  <si>
    <t>IM441</t>
  </si>
  <si>
    <t>图书馆学专业实习
Professional practice of Library Science</t>
  </si>
  <si>
    <t>4周</t>
  </si>
  <si>
    <t>5、6、8、10、11</t>
  </si>
  <si>
    <t>IM412</t>
  </si>
  <si>
    <t>毕业论文
Thesis</t>
  </si>
  <si>
    <t>6周</t>
  </si>
  <si>
    <t>图书馆学管理模块</t>
  </si>
  <si>
    <t>IM125</t>
  </si>
  <si>
    <t>新生研讨课：信息时代，引领未来
Freshmen Seminar：Information Age Leads the Future</t>
  </si>
  <si>
    <t>徐健</t>
  </si>
  <si>
    <t>1-5、6、8</t>
  </si>
  <si>
    <t>IM127</t>
  </si>
  <si>
    <t>信息素养与创新思维
Information Literacy and Innovative Thinking</t>
  </si>
  <si>
    <t>彭国超</t>
  </si>
  <si>
    <t>4、5、8</t>
  </si>
  <si>
    <t>IM397</t>
  </si>
  <si>
    <t>文书学
Records Management</t>
  </si>
  <si>
    <t>李海涛</t>
  </si>
  <si>
    <t>4、5</t>
  </si>
  <si>
    <t>IM138</t>
  </si>
  <si>
    <t>公共文化服务导论
Introduction to Public Culture Services</t>
  </si>
  <si>
    <t>IM158</t>
  </si>
  <si>
    <t>AI时代的批判性阅读与学术写作</t>
  </si>
  <si>
    <t>IM344</t>
  </si>
  <si>
    <t>电子政务
E-Government</t>
  </si>
  <si>
    <t>聂勇浩，陈定权</t>
  </si>
  <si>
    <t>IM140</t>
  </si>
  <si>
    <t>知识产权
Intellectual Property</t>
  </si>
  <si>
    <t>韦景竹</t>
  </si>
  <si>
    <t>IM265</t>
  </si>
  <si>
    <t>文化服务研习I
Service Learning I</t>
  </si>
  <si>
    <t>张靖，周旖</t>
  </si>
  <si>
    <t>1-5、10、11</t>
  </si>
  <si>
    <t>IM2109</t>
  </si>
  <si>
    <t>科学交流与知识传播
Scientific Communication and Knowledge Dissemination</t>
  </si>
  <si>
    <t>侯剑华，李晶</t>
  </si>
  <si>
    <t>IM255</t>
  </si>
  <si>
    <t>公共数字文化管理
Digitalization and Management of Public Culture</t>
  </si>
  <si>
    <t>IM214</t>
  </si>
  <si>
    <t>电子文件管理
Management of Electronic Records</t>
  </si>
  <si>
    <t>杨利军</t>
  </si>
  <si>
    <t>IM276</t>
  </si>
  <si>
    <t>档案利用与公共服务
Archival Access and Public Services</t>
  </si>
  <si>
    <t>陈永生</t>
  </si>
  <si>
    <t>IM2118</t>
  </si>
  <si>
    <t>图书馆学研究方法
Research Methods of Library Science</t>
  </si>
  <si>
    <t>IM317</t>
  </si>
  <si>
    <t>知识管理
Knowledge Management</t>
  </si>
  <si>
    <t>李晶，余厚强</t>
  </si>
  <si>
    <t>IM225</t>
  </si>
  <si>
    <t>信息服务营销
Information Service Marketing</t>
  </si>
  <si>
    <t>IM2106</t>
  </si>
  <si>
    <t>文化遗产保护导论
Introduction to Cultural Heritage Preservation</t>
  </si>
  <si>
    <t>周旖，张靖</t>
  </si>
  <si>
    <t>IM390</t>
  </si>
  <si>
    <t>公共图书馆与公共文化服务
Public Library and Public Cultural Services</t>
  </si>
  <si>
    <t>IM391</t>
  </si>
  <si>
    <t>文化服务研习Ⅱ
Service Learning II</t>
  </si>
  <si>
    <t>张靖，周旖，陈涛</t>
  </si>
  <si>
    <t>IM3133</t>
  </si>
  <si>
    <t>AI治理与信息行为
AI Governance and Information Behavior</t>
  </si>
  <si>
    <t>李晶</t>
  </si>
  <si>
    <t>IM385</t>
  </si>
  <si>
    <t>电子商务与网络营销
Electronic Commerce and Cybermarketing</t>
  </si>
  <si>
    <t>宋昊阳</t>
  </si>
  <si>
    <t>IM3137</t>
  </si>
  <si>
    <t>新媒体
New Media</t>
  </si>
  <si>
    <t>甘春梅</t>
  </si>
  <si>
    <t>IM386</t>
  </si>
  <si>
    <t>企业竞争情报
Enterprise Competitive Intelligence</t>
  </si>
  <si>
    <t>侯剑华，宋昊阳</t>
  </si>
  <si>
    <t>IM3119</t>
  </si>
  <si>
    <t>情报学研究
Research on Information Science</t>
  </si>
  <si>
    <t>武琳</t>
  </si>
  <si>
    <t>IM3122</t>
  </si>
  <si>
    <t>科技档案管理
Management of Science and Technology Archives</t>
  </si>
  <si>
    <t>科技档案管理</t>
  </si>
  <si>
    <t>苏焕宁</t>
  </si>
  <si>
    <t>IM328</t>
  </si>
  <si>
    <t>古籍编目与整理
Collation of Ancient Books</t>
  </si>
  <si>
    <t>古籍编目与整理</t>
  </si>
  <si>
    <t>王蕾，林明</t>
  </si>
  <si>
    <t>IM3118</t>
  </si>
  <si>
    <t>未成年人图书馆理论与服务
Theory and Services of Children Librarianship</t>
  </si>
  <si>
    <t>未成年人图书馆理论与服务</t>
  </si>
  <si>
    <t>IM435</t>
  </si>
  <si>
    <t>信息管理类英文经典选读
Classic English Literature in Information Science</t>
  </si>
  <si>
    <t>1-5、7</t>
  </si>
  <si>
    <t>IM419</t>
  </si>
  <si>
    <t>文化服务研习III
Service Learning III</t>
  </si>
  <si>
    <t>图书馆学技术模块</t>
  </si>
  <si>
    <t>IM152</t>
  </si>
  <si>
    <t>数据科学方法与应用
Data Science Methods and Applications</t>
  </si>
  <si>
    <t>余厚强，张洞，徐健</t>
  </si>
  <si>
    <t>IM2101</t>
  </si>
  <si>
    <t>面向对象程序设计
Object-Oriented Programming</t>
  </si>
  <si>
    <t>李岱峰，余维杰</t>
  </si>
  <si>
    <t>IM293</t>
  </si>
  <si>
    <t>计算机网络
Computer Networks</t>
  </si>
  <si>
    <t>冯小东</t>
  </si>
  <si>
    <t>IM210</t>
  </si>
  <si>
    <t>文献计量学
Bibliometrics</t>
  </si>
  <si>
    <t>侯剑华，余厚强，张洋</t>
  </si>
  <si>
    <t>IM230</t>
  </si>
  <si>
    <t>数据可视化
Data visualization</t>
  </si>
  <si>
    <t>IM296</t>
  </si>
  <si>
    <t>数字信息组织
Digital Information Organization</t>
  </si>
  <si>
    <t>甘春梅，徐健，武琳，陈涛</t>
  </si>
  <si>
    <t>IM3129</t>
  </si>
  <si>
    <t>大数据分析
The Introduction of Big Data Analysis</t>
  </si>
  <si>
    <t>IM3139</t>
  </si>
  <si>
    <t>数智人文理论与应用</t>
  </si>
  <si>
    <t>陈涛，肖鹏，聂勇浩，苏焕宁</t>
  </si>
  <si>
    <t>IM310</t>
  </si>
  <si>
    <t>网络开发工具与技术
Web Technology</t>
  </si>
  <si>
    <t>网络开发工具与技术</t>
  </si>
  <si>
    <t>冯小东，徐健</t>
  </si>
  <si>
    <t>IM3132</t>
  </si>
  <si>
    <t>关联数据及应用
Linked Data and Application</t>
  </si>
  <si>
    <t>关联数据及应用</t>
  </si>
  <si>
    <t>陈涛</t>
  </si>
  <si>
    <t>IM3134</t>
  </si>
  <si>
    <t>信息技术与社会变迁
Information Technology and Social Change</t>
  </si>
  <si>
    <t>信息技术与社会变迁</t>
  </si>
  <si>
    <t>IM360</t>
  </si>
  <si>
    <t>信息安全
Information Security</t>
  </si>
  <si>
    <t>余维杰</t>
  </si>
  <si>
    <t>IM3138</t>
  </si>
  <si>
    <t>商务智能分析
Business Intelligent Analysis</t>
  </si>
  <si>
    <t>IM3127</t>
  </si>
  <si>
    <t>科技信息分析
Analysis of Scientific Information</t>
  </si>
  <si>
    <t>侯剑华</t>
  </si>
  <si>
    <t>IM358</t>
  </si>
  <si>
    <t>管理信息系统
Management Information System</t>
  </si>
  <si>
    <t>朱侯，陈明红，陈定权</t>
  </si>
  <si>
    <t>本研贯通课程</t>
  </si>
  <si>
    <t>IM5260</t>
  </si>
  <si>
    <t>国家文化战略与公共文化治理
National Cultural Strategy &amp; Public Cultural Governance</t>
  </si>
  <si>
    <t>张靖，肖鹏</t>
  </si>
  <si>
    <t>1-6、10、11</t>
  </si>
  <si>
    <t>IM5262</t>
  </si>
  <si>
    <t>公共信息服务
Public Information Service</t>
  </si>
  <si>
    <t>聂勇浩</t>
  </si>
  <si>
    <t>IM5263</t>
  </si>
  <si>
    <t>信息社会与信息文化
Information Society &amp; Information Culture</t>
  </si>
  <si>
    <t>IM5238</t>
  </si>
  <si>
    <t>数据挖掘与决策支持
Data Mining &amp; Decision Support</t>
  </si>
  <si>
    <t>张洞</t>
  </si>
  <si>
    <t>IM5270</t>
  </si>
  <si>
    <t>大数据知识发现原理与方法
Theories &amp; Methods for Big Data Knowledge Discovery</t>
  </si>
  <si>
    <t>IM6252</t>
  </si>
  <si>
    <t>网络信息资源的计量与评价
Webometrics &amp; Evaluation of Internet Information Resources</t>
  </si>
  <si>
    <t>张洋，李晶，余厚强</t>
  </si>
  <si>
    <t>IM6701</t>
  </si>
  <si>
    <t>现代公共文化服务体系建设
Design &amp; Development of Modern Public Culture Service System</t>
  </si>
  <si>
    <t>IM6703</t>
  </si>
  <si>
    <t>情报分析与研究
Information Analysis &amp; Study</t>
  </si>
  <si>
    <t>IM6702</t>
  </si>
  <si>
    <t>政府信息公开与现行文件开放利用
Government Information Publicity &amp; Open Access to Current Documents</t>
  </si>
  <si>
    <t>IM6270</t>
  </si>
  <si>
    <t>政府信息资源开发利用
Development &amp; Use of Government Information Resources</t>
  </si>
  <si>
    <t>IM6274</t>
  </si>
  <si>
    <t>信息资源知识产权前沿
Intellectual Property of Information Resources</t>
  </si>
  <si>
    <t>IM6234</t>
  </si>
  <si>
    <t>学术规范与论文写作
Academic Writing, Norms &amp; Ethics</t>
  </si>
  <si>
    <t>导师组
（张洋）</t>
  </si>
  <si>
    <t>5-8、11</t>
  </si>
  <si>
    <t>IM6708</t>
  </si>
  <si>
    <t>图书情报研究方法
Survey Research Methods for Library &amp; Information Science</t>
  </si>
  <si>
    <t>3-5、11</t>
  </si>
  <si>
    <t>IM5258</t>
  </si>
  <si>
    <t>信息素养与信息素养教育
Information Literacy &amp; Information Literacy Education</t>
  </si>
  <si>
    <t>潘燕桃</t>
  </si>
  <si>
    <t>IM5261</t>
  </si>
  <si>
    <t>智慧公共文化服务专题研究
Monographic Study on Smart Public Culture Service</t>
  </si>
  <si>
    <t>IM6704</t>
  </si>
  <si>
    <t>专利情报与战略</t>
  </si>
  <si>
    <t>IM5266</t>
  </si>
  <si>
    <t>健康信息学</t>
  </si>
  <si>
    <t>IM6264</t>
  </si>
  <si>
    <t>图书馆发展趋势
Library Development Trends</t>
  </si>
  <si>
    <t>IM5274</t>
  </si>
  <si>
    <r>
      <rPr>
        <sz val="11"/>
        <rFont val="仿宋"/>
        <charset val="134"/>
      </rPr>
      <t>SPARQL</t>
    </r>
    <r>
      <rPr>
        <sz val="11"/>
        <color theme="1"/>
        <rFont val="仿宋"/>
        <charset val="134"/>
      </rPr>
      <t>检索语言与应用
SPARQL Language &amp; Applications</t>
    </r>
  </si>
  <si>
    <t>IM5275</t>
  </si>
  <si>
    <t>档案开放利用研究
Research on Archives Opening &amp; Utilization</t>
  </si>
  <si>
    <t>IM5276</t>
  </si>
  <si>
    <t>电子文件归档与电子档案管理
Filing &amp; Management of Electronic Records</t>
  </si>
  <si>
    <r>
      <rPr>
        <sz val="14"/>
        <color theme="1"/>
        <rFont val="黑体"/>
        <charset val="134"/>
      </rPr>
      <t>六、学分分布情况表</t>
    </r>
    <r>
      <rPr>
        <sz val="11"/>
        <color theme="1"/>
        <rFont val="仿宋"/>
        <charset val="134"/>
      </rPr>
      <t>（大五年级请自行添行）</t>
    </r>
  </si>
  <si>
    <t>学年</t>
  </si>
  <si>
    <t>学期</t>
  </si>
  <si>
    <t>公必学分</t>
  </si>
  <si>
    <t>专必学分</t>
  </si>
  <si>
    <t>专选开设学分</t>
  </si>
  <si>
    <t>专选建议修读学分</t>
  </si>
  <si>
    <t>公选学分</t>
  </si>
  <si>
    <t>大一</t>
  </si>
  <si>
    <t>大一上</t>
  </si>
  <si>
    <t>大一下</t>
  </si>
  <si>
    <t>大二</t>
  </si>
  <si>
    <t>大二上</t>
  </si>
  <si>
    <t>大二下</t>
  </si>
  <si>
    <t>大三</t>
  </si>
  <si>
    <t>大三上</t>
  </si>
  <si>
    <t>大三下</t>
  </si>
  <si>
    <t>大四</t>
  </si>
  <si>
    <t>大四上</t>
  </si>
  <si>
    <t>大四下</t>
  </si>
  <si>
    <t>小计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</si>
</sst>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等线"/>
      <charset val="134"/>
      <scheme val="minor"/>
    </font>
    <font>
      <sz val="12"/>
      <color theme="1"/>
      <name val="仿宋"/>
      <charset val="134"/>
    </font>
    <font>
      <b/>
      <sz val="11"/>
      <color theme="1"/>
      <name val="仿宋"/>
      <charset val="134"/>
    </font>
    <font>
      <sz val="11"/>
      <color theme="1"/>
      <name val="仿宋"/>
      <charset val="134"/>
    </font>
    <font>
      <sz val="16"/>
      <color theme="1"/>
      <name val="方正小标宋简体"/>
      <charset val="134"/>
    </font>
    <font>
      <sz val="14"/>
      <color theme="1"/>
      <name val="黑体"/>
      <charset val="134"/>
    </font>
    <font>
      <b/>
      <sz val="14"/>
      <color theme="1"/>
      <name val="仿宋"/>
      <charset val="134"/>
    </font>
    <font>
      <sz val="12"/>
      <color theme="1"/>
      <name val="KaiTi"/>
      <charset val="134"/>
    </font>
    <font>
      <sz val="12"/>
      <name val="仿宋"/>
      <charset val="134"/>
    </font>
    <font>
      <sz val="10.5"/>
      <color theme="1"/>
      <name val="仿宋"/>
      <charset val="134"/>
    </font>
    <font>
      <sz val="11"/>
      <name val="仿宋"/>
      <charset val="134"/>
    </font>
    <font>
      <sz val="10.5"/>
      <name val="仿宋"/>
      <charset val="134"/>
    </font>
    <font>
      <sz val="11"/>
      <color theme="1"/>
      <name val="KaiTi"/>
      <charset val="134"/>
    </font>
    <font>
      <sz val="11"/>
      <color theme="1"/>
      <name val="黑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Arial"/>
      <charset val="134"/>
    </font>
    <font>
      <u/>
      <sz val="12"/>
      <color theme="1"/>
      <name val="仿宋"/>
      <charset val="134"/>
    </font>
    <font>
      <b/>
      <sz val="9"/>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2" borderId="1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1" fillId="0" borderId="0" applyNumberFormat="0" applyFill="0" applyBorder="0" applyAlignment="0" applyProtection="0">
      <alignment vertical="center"/>
    </xf>
    <xf numFmtId="0" fontId="22" fillId="3" borderId="18" applyNumberFormat="0" applyAlignment="0" applyProtection="0">
      <alignment vertical="center"/>
    </xf>
    <xf numFmtId="0" fontId="23" fillId="4" borderId="19" applyNumberFormat="0" applyAlignment="0" applyProtection="0">
      <alignment vertical="center"/>
    </xf>
    <xf numFmtId="0" fontId="24" fillId="4" borderId="18" applyNumberFormat="0" applyAlignment="0" applyProtection="0">
      <alignment vertical="center"/>
    </xf>
    <xf numFmtId="0" fontId="25" fillId="5" borderId="20" applyNumberFormat="0" applyAlignment="0" applyProtection="0">
      <alignment vertical="center"/>
    </xf>
    <xf numFmtId="0" fontId="26" fillId="0" borderId="21" applyNumberFormat="0" applyFill="0" applyAlignment="0" applyProtection="0">
      <alignment vertical="center"/>
    </xf>
    <xf numFmtId="0" fontId="27" fillId="0" borderId="22"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cellStyleXfs>
  <cellXfs count="89">
    <xf numFmtId="0" fontId="0" fillId="0" borderId="0" xfId="0"/>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2" fillId="0" borderId="0" xfId="0" applyFont="1" applyFill="1" applyBorder="1" applyAlignment="1">
      <alignment vertical="center" wrapText="1"/>
    </xf>
    <xf numFmtId="0" fontId="3" fillId="0" borderId="0" xfId="0" applyFont="1" applyFill="1" applyBorder="1" applyAlignment="1">
      <alignment vertical="center" wrapText="1"/>
    </xf>
    <xf numFmtId="0" fontId="3" fillId="0" borderId="0" xfId="0" applyFont="1" applyFill="1" applyAlignment="1">
      <alignment vertical="center" wrapText="1"/>
    </xf>
    <xf numFmtId="0" fontId="3" fillId="0" borderId="0" xfId="0" applyFont="1" applyFill="1" applyAlignment="1">
      <alignment horizontal="center" vertical="center" wrapText="1"/>
    </xf>
    <xf numFmtId="0" fontId="4" fillId="0" borderId="0" xfId="0" applyFont="1" applyFill="1" applyAlignment="1">
      <alignment horizontal="center" vertical="center" wrapText="1"/>
    </xf>
    <xf numFmtId="0" fontId="5" fillId="0" borderId="0" xfId="0" applyFont="1" applyFill="1" applyBorder="1" applyAlignment="1">
      <alignment horizontal="left" vertical="center" wrapText="1"/>
    </xf>
    <xf numFmtId="0" fontId="1" fillId="0" borderId="1" xfId="0" applyFont="1" applyFill="1" applyBorder="1" applyAlignment="1">
      <alignment horizontal="left" vertical="center" wrapText="1"/>
    </xf>
    <xf numFmtId="0" fontId="5" fillId="0" borderId="2" xfId="0" applyFont="1" applyFill="1" applyBorder="1" applyAlignment="1">
      <alignment horizontal="left" vertical="center" wrapText="1"/>
    </xf>
    <xf numFmtId="0" fontId="6" fillId="0" borderId="1" xfId="0" applyFont="1" applyFill="1" applyBorder="1" applyAlignment="1">
      <alignment horizontal="left"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10" fontId="1" fillId="0" borderId="3" xfId="0" applyNumberFormat="1" applyFont="1" applyFill="1" applyBorder="1" applyAlignment="1">
      <alignment horizontal="center" vertical="center" wrapText="1"/>
    </xf>
    <xf numFmtId="10" fontId="1" fillId="0" borderId="4"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10" fontId="1" fillId="0" borderId="1" xfId="0" applyNumberFormat="1"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right" vertical="center" wrapText="1"/>
    </xf>
    <xf numFmtId="0" fontId="1" fillId="0" borderId="4" xfId="0" applyFont="1" applyFill="1" applyBorder="1" applyAlignment="1">
      <alignment vertical="center" wrapText="1"/>
    </xf>
    <xf numFmtId="0" fontId="1" fillId="0" borderId="9" xfId="0" applyFont="1" applyFill="1" applyBorder="1" applyAlignment="1">
      <alignment horizontal="center" vertical="center" wrapText="1"/>
    </xf>
    <xf numFmtId="0" fontId="8" fillId="0" borderId="3" xfId="0" applyFont="1" applyFill="1" applyBorder="1" applyAlignment="1">
      <alignment horizontal="left" vertical="center" wrapText="1"/>
    </xf>
    <xf numFmtId="0" fontId="8" fillId="0" borderId="4"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7" xfId="0" applyFont="1" applyFill="1" applyBorder="1" applyAlignment="1">
      <alignment vertical="center" wrapText="1"/>
    </xf>
    <xf numFmtId="0" fontId="2" fillId="0" borderId="1" xfId="0" applyFont="1" applyFill="1" applyBorder="1" applyAlignment="1">
      <alignment horizontal="center" vertical="center" textRotation="255"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2" fillId="0" borderId="0" xfId="0" applyFont="1" applyFill="1" applyBorder="1" applyAlignment="1">
      <alignment horizontal="center" vertical="center" textRotation="255"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10" fillId="0" borderId="3" xfId="0" applyFont="1" applyFill="1" applyBorder="1" applyAlignment="1" applyProtection="1">
      <alignment horizontal="center" vertical="center" wrapText="1"/>
    </xf>
    <xf numFmtId="0" fontId="10" fillId="0" borderId="4" xfId="0"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2" fillId="0" borderId="13" xfId="0" applyFont="1" applyFill="1" applyBorder="1" applyAlignment="1">
      <alignment horizontal="center" vertical="center" textRotation="255" wrapText="1"/>
    </xf>
    <xf numFmtId="0" fontId="11" fillId="0" borderId="1" xfId="0" applyFont="1" applyFill="1" applyBorder="1" applyAlignment="1">
      <alignment horizontal="center" vertical="center" wrapText="1"/>
    </xf>
    <xf numFmtId="10" fontId="1" fillId="0" borderId="5" xfId="0" applyNumberFormat="1" applyFont="1" applyFill="1" applyBorder="1" applyAlignment="1">
      <alignment horizontal="center" vertical="center" wrapText="1"/>
    </xf>
    <xf numFmtId="0" fontId="1" fillId="0" borderId="4" xfId="0" applyFont="1" applyFill="1" applyBorder="1" applyAlignment="1">
      <alignment horizontal="right" vertical="center" wrapText="1"/>
    </xf>
    <xf numFmtId="0" fontId="8"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9"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9" fontId="1" fillId="0" borderId="1" xfId="3" applyFont="1" applyFill="1" applyBorder="1" applyAlignment="1">
      <alignment horizontal="center" vertical="center" wrapText="1"/>
    </xf>
    <xf numFmtId="0" fontId="10" fillId="0" borderId="5" xfId="0" applyFont="1" applyFill="1" applyBorder="1" applyAlignment="1">
      <alignment horizontal="left" vertical="center" wrapText="1"/>
    </xf>
    <xf numFmtId="0" fontId="10" fillId="0" borderId="3" xfId="0" applyNumberFormat="1" applyFont="1" applyFill="1" applyBorder="1" applyAlignment="1">
      <alignment horizontal="center" vertical="center" wrapText="1"/>
    </xf>
    <xf numFmtId="0" fontId="10" fillId="0" borderId="4" xfId="0" applyNumberFormat="1" applyFont="1" applyFill="1" applyBorder="1" applyAlignment="1">
      <alignment horizontal="center" vertical="center" wrapText="1"/>
    </xf>
    <xf numFmtId="0" fontId="10" fillId="0" borderId="5" xfId="0" applyNumberFormat="1" applyFont="1" applyFill="1" applyBorder="1" applyAlignment="1">
      <alignment horizontal="center" vertical="center" wrapText="1"/>
    </xf>
    <xf numFmtId="0" fontId="10" fillId="0" borderId="0" xfId="0" applyFont="1" applyFill="1" applyAlignment="1">
      <alignment horizontal="center" vertical="center" wrapText="1"/>
    </xf>
    <xf numFmtId="0" fontId="10"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1" fillId="0" borderId="7" xfId="0" applyFont="1" applyFill="1" applyBorder="1" applyAlignment="1">
      <alignment horizontal="center" vertical="center" wrapText="1"/>
    </xf>
    <xf numFmtId="0" fontId="11" fillId="0" borderId="14" xfId="0" applyFont="1" applyFill="1" applyBorder="1" applyAlignment="1">
      <alignment horizontal="center" vertical="center" wrapText="1"/>
    </xf>
    <xf numFmtId="0" fontId="5" fillId="0" borderId="4" xfId="0" applyFont="1" applyFill="1" applyBorder="1" applyAlignment="1">
      <alignment horizontal="left" vertical="center" wrapText="1"/>
    </xf>
    <xf numFmtId="0" fontId="12" fillId="0" borderId="1" xfId="0" applyFont="1" applyFill="1" applyBorder="1" applyAlignment="1">
      <alignment horizontal="center" vertical="center" wrapText="1"/>
    </xf>
    <xf numFmtId="49" fontId="10" fillId="0" borderId="1" xfId="0" applyNumberFormat="1" applyFont="1" applyBorder="1" applyAlignment="1">
      <alignment horizontal="center" vertical="center" wrapText="1"/>
    </xf>
    <xf numFmtId="0" fontId="3" fillId="0" borderId="1" xfId="0" applyFont="1" applyFill="1" applyBorder="1" applyAlignment="1">
      <alignment horizontal="center" vertical="center" textRotation="255" wrapText="1"/>
    </xf>
    <xf numFmtId="0" fontId="13"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36"/>
  <sheetViews>
    <sheetView showGridLines="0" tabSelected="1" zoomScale="90" zoomScaleNormal="90" workbookViewId="0">
      <selection activeCell="P140" sqref="P140"/>
    </sheetView>
  </sheetViews>
  <sheetFormatPr defaultColWidth="9" defaultRowHeight="13.5"/>
  <cols>
    <col min="1" max="1" width="4.44166666666667" style="6" customWidth="1"/>
    <col min="2" max="2" width="5.775" style="6" customWidth="1"/>
    <col min="3" max="3" width="14.5583333333333" style="7" customWidth="1"/>
    <col min="4" max="4" width="15.225" style="6" customWidth="1"/>
    <col min="5" max="6" width="15.4416666666667" style="6" customWidth="1"/>
    <col min="7" max="7" width="7.44166666666667" style="6" customWidth="1"/>
    <col min="8" max="8" width="6.775" style="6" customWidth="1"/>
    <col min="9" max="10" width="7.55833333333333" style="6" customWidth="1"/>
    <col min="11" max="11" width="6.89166666666667" style="6" customWidth="1"/>
    <col min="12" max="12" width="8.89166666666667" style="6"/>
    <col min="13" max="13" width="8" style="6" customWidth="1"/>
    <col min="14" max="14" width="14.4083333333333" style="6" customWidth="1"/>
    <col min="15" max="16" width="9.66666666666667" style="6" customWidth="1"/>
    <col min="17" max="17" width="16.3333333333333" style="6" customWidth="1"/>
    <col min="18" max="16384" width="8.89166666666667" style="6"/>
  </cols>
  <sheetData>
    <row r="1" ht="34.8" customHeight="1" spans="1:17">
      <c r="A1" s="8" t="s">
        <v>0</v>
      </c>
      <c r="B1" s="8"/>
      <c r="C1" s="8"/>
      <c r="D1" s="8"/>
      <c r="E1" s="8"/>
      <c r="F1" s="8"/>
      <c r="G1" s="8"/>
      <c r="H1" s="8"/>
      <c r="I1" s="8"/>
      <c r="J1" s="8"/>
      <c r="K1" s="8"/>
      <c r="L1" s="8"/>
      <c r="M1" s="8"/>
      <c r="N1" s="8"/>
      <c r="O1" s="8"/>
      <c r="P1" s="8"/>
      <c r="Q1" s="8"/>
    </row>
    <row r="2" ht="19.95" customHeight="1" spans="1:17">
      <c r="A2" s="9" t="s">
        <v>1</v>
      </c>
      <c r="B2" s="9"/>
      <c r="C2" s="9"/>
      <c r="D2" s="9"/>
      <c r="E2" s="9"/>
      <c r="F2" s="9"/>
      <c r="G2" s="9"/>
      <c r="H2" s="9"/>
      <c r="I2" s="9"/>
      <c r="J2" s="9"/>
      <c r="K2" s="9"/>
      <c r="L2" s="9"/>
      <c r="M2" s="9"/>
      <c r="N2" s="9"/>
      <c r="O2" s="9"/>
      <c r="P2" s="9"/>
      <c r="Q2" s="9"/>
    </row>
    <row r="3" s="1" customFormat="1" ht="63" customHeight="1" spans="1:17">
      <c r="A3" s="10" t="s">
        <v>2</v>
      </c>
      <c r="B3" s="10"/>
      <c r="C3" s="10"/>
      <c r="D3" s="10"/>
      <c r="E3" s="10"/>
      <c r="F3" s="10"/>
      <c r="G3" s="10"/>
      <c r="H3" s="10"/>
      <c r="I3" s="10"/>
      <c r="J3" s="10"/>
      <c r="K3" s="10"/>
      <c r="L3" s="10"/>
      <c r="M3" s="10"/>
      <c r="N3" s="10"/>
      <c r="O3" s="10"/>
      <c r="P3" s="10"/>
      <c r="Q3" s="10"/>
    </row>
    <row r="4" ht="19.95" customHeight="1" spans="1:17">
      <c r="A4" s="11" t="s">
        <v>3</v>
      </c>
      <c r="B4" s="11"/>
      <c r="C4" s="11"/>
      <c r="D4" s="11"/>
      <c r="E4" s="11"/>
      <c r="F4" s="11"/>
      <c r="G4" s="11"/>
      <c r="H4" s="11"/>
      <c r="I4" s="11"/>
      <c r="J4" s="11"/>
      <c r="K4" s="11"/>
      <c r="L4" s="11"/>
      <c r="M4" s="11"/>
      <c r="N4" s="11"/>
      <c r="O4" s="11"/>
      <c r="P4" s="11"/>
      <c r="Q4" s="11"/>
    </row>
    <row r="5" ht="103.8" customHeight="1" spans="1:17">
      <c r="A5" s="12" t="s">
        <v>4</v>
      </c>
      <c r="B5" s="10"/>
      <c r="C5" s="10"/>
      <c r="D5" s="10"/>
      <c r="E5" s="10"/>
      <c r="F5" s="10"/>
      <c r="G5" s="10"/>
      <c r="H5" s="10"/>
      <c r="I5" s="10"/>
      <c r="J5" s="10"/>
      <c r="K5" s="10"/>
      <c r="L5" s="10"/>
      <c r="M5" s="10"/>
      <c r="N5" s="10"/>
      <c r="O5" s="10"/>
      <c r="P5" s="10"/>
      <c r="Q5" s="10"/>
    </row>
    <row r="6" s="1" customFormat="1" ht="184.2" customHeight="1" spans="1:17">
      <c r="A6" s="10"/>
      <c r="B6" s="10"/>
      <c r="C6" s="10"/>
      <c r="D6" s="10"/>
      <c r="E6" s="10"/>
      <c r="F6" s="10"/>
      <c r="G6" s="10"/>
      <c r="H6" s="10"/>
      <c r="I6" s="10"/>
      <c r="J6" s="10"/>
      <c r="K6" s="10"/>
      <c r="L6" s="10"/>
      <c r="M6" s="10"/>
      <c r="N6" s="10"/>
      <c r="O6" s="10"/>
      <c r="P6" s="10"/>
      <c r="Q6" s="10"/>
    </row>
    <row r="7" ht="19.95" customHeight="1" spans="1:17">
      <c r="A7" s="11" t="s">
        <v>5</v>
      </c>
      <c r="B7" s="11"/>
      <c r="C7" s="11"/>
      <c r="D7" s="11"/>
      <c r="E7" s="11"/>
      <c r="F7" s="11"/>
      <c r="G7" s="11"/>
      <c r="H7" s="11"/>
      <c r="I7" s="11"/>
      <c r="J7" s="11"/>
      <c r="K7" s="11"/>
      <c r="L7" s="11"/>
      <c r="M7" s="11"/>
      <c r="N7" s="11"/>
      <c r="O7" s="11"/>
      <c r="P7" s="11"/>
      <c r="Q7" s="11"/>
    </row>
    <row r="8" s="1" customFormat="1" ht="56.4" customHeight="1" spans="1:17">
      <c r="A8" s="10" t="s">
        <v>6</v>
      </c>
      <c r="B8" s="10"/>
      <c r="C8" s="10"/>
      <c r="D8" s="10"/>
      <c r="E8" s="10"/>
      <c r="F8" s="10"/>
      <c r="G8" s="10"/>
      <c r="H8" s="10"/>
      <c r="I8" s="10"/>
      <c r="J8" s="10"/>
      <c r="K8" s="10"/>
      <c r="L8" s="10"/>
      <c r="M8" s="10"/>
      <c r="N8" s="10"/>
      <c r="O8" s="10"/>
      <c r="P8" s="10"/>
      <c r="Q8" s="10"/>
    </row>
    <row r="9" ht="19.95" customHeight="1" spans="1:17">
      <c r="A9" s="11" t="s">
        <v>7</v>
      </c>
      <c r="B9" s="11"/>
      <c r="C9" s="11"/>
      <c r="D9" s="11"/>
      <c r="E9" s="11"/>
      <c r="F9" s="11"/>
      <c r="G9" s="11"/>
      <c r="H9" s="11"/>
      <c r="I9" s="11"/>
      <c r="J9" s="11"/>
      <c r="K9" s="11"/>
      <c r="L9" s="11"/>
      <c r="M9" s="11"/>
      <c r="N9" s="11"/>
      <c r="O9" s="11"/>
      <c r="P9" s="11"/>
      <c r="Q9" s="11"/>
    </row>
    <row r="10" s="2" customFormat="1" ht="19.95" customHeight="1" spans="1:17">
      <c r="A10" s="13" t="s">
        <v>8</v>
      </c>
      <c r="B10" s="14"/>
      <c r="C10" s="14"/>
      <c r="D10" s="15"/>
      <c r="E10" s="13" t="s">
        <v>9</v>
      </c>
      <c r="F10" s="14"/>
      <c r="G10" s="16" t="s">
        <v>10</v>
      </c>
      <c r="H10" s="16"/>
      <c r="I10" s="16"/>
      <c r="J10" s="16"/>
      <c r="K10" s="16"/>
      <c r="L10" s="16"/>
      <c r="M10" s="16" t="s">
        <v>11</v>
      </c>
      <c r="N10" s="16"/>
      <c r="O10" s="16"/>
      <c r="P10" s="16"/>
      <c r="Q10" s="16"/>
    </row>
    <row r="11" s="3" customFormat="1" ht="37.8" customHeight="1" spans="1:17">
      <c r="A11" s="17" t="s">
        <v>12</v>
      </c>
      <c r="B11" s="18"/>
      <c r="C11" s="18"/>
      <c r="D11" s="19"/>
      <c r="E11" s="17">
        <v>39</v>
      </c>
      <c r="F11" s="19"/>
      <c r="G11" s="20">
        <f>E11/E19</f>
        <v>0.26530612244898</v>
      </c>
      <c r="H11" s="21"/>
      <c r="I11" s="21"/>
      <c r="J11" s="21"/>
      <c r="K11" s="21"/>
      <c r="L11" s="63"/>
      <c r="M11" s="22" t="s">
        <v>13</v>
      </c>
      <c r="N11" s="22"/>
      <c r="O11" s="22"/>
      <c r="P11" s="22"/>
      <c r="Q11" s="22"/>
    </row>
    <row r="12" s="3" customFormat="1" ht="39" customHeight="1" spans="1:17">
      <c r="A12" s="17" t="s">
        <v>14</v>
      </c>
      <c r="B12" s="18"/>
      <c r="C12" s="18"/>
      <c r="D12" s="19"/>
      <c r="E12" s="22">
        <v>8</v>
      </c>
      <c r="F12" s="22"/>
      <c r="G12" s="23">
        <f>E12/E19</f>
        <v>0.054421768707483</v>
      </c>
      <c r="H12" s="23"/>
      <c r="I12" s="23"/>
      <c r="J12" s="23"/>
      <c r="K12" s="23"/>
      <c r="L12" s="23"/>
      <c r="M12" s="22" t="s">
        <v>15</v>
      </c>
      <c r="N12" s="22"/>
      <c r="O12" s="22"/>
      <c r="P12" s="22"/>
      <c r="Q12" s="22"/>
    </row>
    <row r="13" s="3" customFormat="1" ht="19.95" customHeight="1" spans="1:17">
      <c r="A13" s="22" t="s">
        <v>16</v>
      </c>
      <c r="B13" s="22"/>
      <c r="C13" s="17" t="s">
        <v>17</v>
      </c>
      <c r="D13" s="19"/>
      <c r="E13" s="22">
        <v>8</v>
      </c>
      <c r="F13" s="22"/>
      <c r="G13" s="23">
        <f>(E13+E14+E15+E16)/E19</f>
        <v>0.435374149659864</v>
      </c>
      <c r="H13" s="23"/>
      <c r="I13" s="23"/>
      <c r="J13" s="23"/>
      <c r="K13" s="23"/>
      <c r="L13" s="23"/>
      <c r="M13" s="22" t="s">
        <v>18</v>
      </c>
      <c r="N13" s="22"/>
      <c r="O13" s="22"/>
      <c r="P13" s="22"/>
      <c r="Q13" s="22"/>
    </row>
    <row r="14" s="3" customFormat="1" ht="19.95" customHeight="1" spans="1:17">
      <c r="A14" s="22"/>
      <c r="B14" s="22"/>
      <c r="C14" s="17" t="s">
        <v>19</v>
      </c>
      <c r="D14" s="19"/>
      <c r="E14" s="22">
        <v>21</v>
      </c>
      <c r="F14" s="22"/>
      <c r="G14" s="23"/>
      <c r="H14" s="23"/>
      <c r="I14" s="23"/>
      <c r="J14" s="23"/>
      <c r="K14" s="23"/>
      <c r="L14" s="23"/>
      <c r="M14" s="22"/>
      <c r="N14" s="22"/>
      <c r="O14" s="22"/>
      <c r="P14" s="22"/>
      <c r="Q14" s="22"/>
    </row>
    <row r="15" s="3" customFormat="1" ht="19.95" customHeight="1" spans="1:17">
      <c r="A15" s="22"/>
      <c r="B15" s="22"/>
      <c r="C15" s="17" t="s">
        <v>20</v>
      </c>
      <c r="D15" s="19"/>
      <c r="E15" s="22">
        <v>23</v>
      </c>
      <c r="F15" s="22"/>
      <c r="G15" s="23"/>
      <c r="H15" s="23"/>
      <c r="I15" s="23"/>
      <c r="J15" s="23"/>
      <c r="K15" s="23"/>
      <c r="L15" s="23"/>
      <c r="M15" s="22"/>
      <c r="N15" s="22"/>
      <c r="O15" s="22"/>
      <c r="P15" s="22"/>
      <c r="Q15" s="22"/>
    </row>
    <row r="16" s="3" customFormat="1" ht="19.95" customHeight="1" spans="1:17">
      <c r="A16" s="22"/>
      <c r="B16" s="22"/>
      <c r="C16" s="17" t="s">
        <v>21</v>
      </c>
      <c r="D16" s="19"/>
      <c r="E16" s="22">
        <v>12</v>
      </c>
      <c r="F16" s="22"/>
      <c r="G16" s="23"/>
      <c r="H16" s="23"/>
      <c r="I16" s="23"/>
      <c r="J16" s="23"/>
      <c r="K16" s="23"/>
      <c r="L16" s="23"/>
      <c r="M16" s="22"/>
      <c r="N16" s="22"/>
      <c r="O16" s="22"/>
      <c r="P16" s="22"/>
      <c r="Q16" s="22"/>
    </row>
    <row r="17" s="3" customFormat="1" ht="19.95" customHeight="1" spans="1:17">
      <c r="A17" s="17" t="s">
        <v>22</v>
      </c>
      <c r="B17" s="18"/>
      <c r="C17" s="18"/>
      <c r="D17" s="19"/>
      <c r="E17" s="22">
        <v>36</v>
      </c>
      <c r="F17" s="22"/>
      <c r="G17" s="23">
        <f>E17/E19</f>
        <v>0.244897959183673</v>
      </c>
      <c r="H17" s="23"/>
      <c r="I17" s="23"/>
      <c r="J17" s="23"/>
      <c r="K17" s="23"/>
      <c r="L17" s="23"/>
      <c r="M17" s="22" t="s">
        <v>23</v>
      </c>
      <c r="N17" s="22"/>
      <c r="O17" s="22"/>
      <c r="P17" s="22"/>
      <c r="Q17" s="22"/>
    </row>
    <row r="18" s="3" customFormat="1" ht="19.95" customHeight="1" spans="1:17">
      <c r="A18" s="17" t="s">
        <v>24</v>
      </c>
      <c r="B18" s="18"/>
      <c r="C18" s="18"/>
      <c r="D18" s="24"/>
      <c r="E18" s="25" t="s">
        <v>25</v>
      </c>
      <c r="F18" s="25"/>
      <c r="G18" s="26"/>
      <c r="H18" s="27"/>
      <c r="I18" s="27"/>
      <c r="J18" s="27"/>
      <c r="K18" s="27"/>
      <c r="L18" s="24"/>
      <c r="M18" s="25" t="s">
        <v>24</v>
      </c>
      <c r="N18" s="25"/>
      <c r="O18" s="25"/>
      <c r="P18" s="25"/>
      <c r="Q18" s="25"/>
    </row>
    <row r="19" s="3" customFormat="1" ht="39.6" customHeight="1" spans="1:17">
      <c r="A19" s="22" t="s">
        <v>26</v>
      </c>
      <c r="B19" s="22"/>
      <c r="C19" s="17"/>
      <c r="D19" s="28" t="s">
        <v>27</v>
      </c>
      <c r="E19" s="18">
        <f>SUM(E11:F18)</f>
        <v>147</v>
      </c>
      <c r="F19" s="29" t="s">
        <v>28</v>
      </c>
      <c r="G19" s="17" t="s">
        <v>29</v>
      </c>
      <c r="H19" s="18"/>
      <c r="I19" s="18"/>
      <c r="J19" s="18"/>
      <c r="K19" s="18"/>
      <c r="L19" s="18">
        <v>35</v>
      </c>
      <c r="M19" s="29" t="s">
        <v>28</v>
      </c>
      <c r="N19" s="28" t="s">
        <v>30</v>
      </c>
      <c r="O19" s="64"/>
      <c r="P19" s="64"/>
      <c r="Q19" s="72">
        <f>L19/E19</f>
        <v>0.238095238095238</v>
      </c>
    </row>
    <row r="20" s="3" customFormat="1" ht="19.95" customHeight="1" spans="1:17">
      <c r="A20" s="22" t="s">
        <v>31</v>
      </c>
      <c r="B20" s="22"/>
      <c r="C20" s="22"/>
      <c r="D20" s="30" t="s">
        <v>32</v>
      </c>
      <c r="E20" s="30"/>
      <c r="F20" s="30"/>
      <c r="G20" s="30"/>
      <c r="H20" s="30"/>
      <c r="I20" s="30"/>
      <c r="J20" s="30"/>
      <c r="K20" s="30"/>
      <c r="L20" s="30"/>
      <c r="M20" s="30"/>
      <c r="N20" s="30"/>
      <c r="O20" s="30"/>
      <c r="P20" s="30"/>
      <c r="Q20" s="30"/>
    </row>
    <row r="21" s="3" customFormat="1" ht="91" customHeight="1" spans="1:17">
      <c r="A21" s="22" t="s">
        <v>33</v>
      </c>
      <c r="B21" s="22"/>
      <c r="C21" s="22"/>
      <c r="D21" s="31" t="s">
        <v>34</v>
      </c>
      <c r="E21" s="32"/>
      <c r="F21" s="32"/>
      <c r="G21" s="32"/>
      <c r="H21" s="32"/>
      <c r="I21" s="32"/>
      <c r="J21" s="32"/>
      <c r="K21" s="32"/>
      <c r="L21" s="32"/>
      <c r="M21" s="32"/>
      <c r="N21" s="65"/>
      <c r="O21" s="32"/>
      <c r="P21" s="65"/>
      <c r="Q21" s="73"/>
    </row>
    <row r="22" s="3" customFormat="1" ht="19.95" customHeight="1" spans="1:17">
      <c r="A22" s="11" t="s">
        <v>35</v>
      </c>
      <c r="B22" s="11"/>
      <c r="C22" s="11"/>
      <c r="D22" s="11"/>
      <c r="E22" s="11"/>
      <c r="F22" s="11"/>
      <c r="G22" s="11"/>
      <c r="H22" s="11"/>
      <c r="I22" s="11"/>
      <c r="J22" s="11"/>
      <c r="K22" s="11"/>
      <c r="L22" s="11"/>
      <c r="M22" s="11"/>
      <c r="N22" s="11"/>
      <c r="O22" s="11"/>
      <c r="P22" s="11"/>
      <c r="Q22" s="11"/>
    </row>
    <row r="23" s="4" customFormat="1" ht="14.4" customHeight="1" spans="1:17">
      <c r="A23" s="33" t="s">
        <v>36</v>
      </c>
      <c r="B23" s="33"/>
      <c r="C23" s="33" t="s">
        <v>37</v>
      </c>
      <c r="D23" s="34" t="s">
        <v>38</v>
      </c>
      <c r="E23" s="35"/>
      <c r="F23" s="36"/>
      <c r="G23" s="34" t="s">
        <v>39</v>
      </c>
      <c r="H23" s="35"/>
      <c r="I23" s="36"/>
      <c r="J23" s="66" t="s">
        <v>40</v>
      </c>
      <c r="K23" s="67"/>
      <c r="L23" s="68"/>
      <c r="M23" s="33" t="s">
        <v>41</v>
      </c>
      <c r="N23" s="37" t="s">
        <v>42</v>
      </c>
      <c r="O23" s="37" t="s">
        <v>43</v>
      </c>
      <c r="P23" s="37" t="s">
        <v>44</v>
      </c>
      <c r="Q23" s="37" t="s">
        <v>45</v>
      </c>
    </row>
    <row r="24" s="4" customFormat="1" ht="27" spans="1:17">
      <c r="A24" s="33"/>
      <c r="B24" s="33"/>
      <c r="C24" s="37"/>
      <c r="D24" s="38"/>
      <c r="E24" s="39"/>
      <c r="F24" s="40"/>
      <c r="G24" s="41" t="s">
        <v>26</v>
      </c>
      <c r="H24" s="33" t="s">
        <v>46</v>
      </c>
      <c r="I24" s="33" t="s">
        <v>47</v>
      </c>
      <c r="J24" s="37" t="s">
        <v>31</v>
      </c>
      <c r="K24" s="37" t="s">
        <v>48</v>
      </c>
      <c r="L24" s="37" t="s">
        <v>49</v>
      </c>
      <c r="M24" s="37"/>
      <c r="N24" s="69"/>
      <c r="O24" s="69"/>
      <c r="P24" s="69"/>
      <c r="Q24" s="69"/>
    </row>
    <row r="25" s="5" customFormat="1" ht="30" customHeight="1" spans="1:17">
      <c r="A25" s="42" t="s">
        <v>50</v>
      </c>
      <c r="B25" s="42"/>
      <c r="C25" s="43" t="s">
        <v>51</v>
      </c>
      <c r="D25" s="44" t="s">
        <v>52</v>
      </c>
      <c r="E25" s="45"/>
      <c r="F25" s="46"/>
      <c r="G25" s="43">
        <v>8</v>
      </c>
      <c r="H25" s="43">
        <v>8</v>
      </c>
      <c r="I25" s="43">
        <v>0</v>
      </c>
      <c r="J25" s="43">
        <v>144</v>
      </c>
      <c r="K25" s="43">
        <v>144</v>
      </c>
      <c r="L25" s="43">
        <v>0</v>
      </c>
      <c r="M25" s="70" t="s">
        <v>53</v>
      </c>
      <c r="N25" s="70" t="s">
        <v>54</v>
      </c>
      <c r="O25" s="70" t="s">
        <v>55</v>
      </c>
      <c r="P25" s="71">
        <v>7</v>
      </c>
      <c r="Q25" s="70" t="s">
        <v>55</v>
      </c>
    </row>
    <row r="26" ht="40.5" spans="1:17">
      <c r="A26" s="42"/>
      <c r="B26" s="42"/>
      <c r="C26" s="43" t="s">
        <v>56</v>
      </c>
      <c r="D26" s="44" t="s">
        <v>57</v>
      </c>
      <c r="E26" s="45"/>
      <c r="F26" s="46"/>
      <c r="G26" s="43">
        <v>4</v>
      </c>
      <c r="H26" s="43">
        <v>0</v>
      </c>
      <c r="I26" s="43">
        <v>4</v>
      </c>
      <c r="J26" s="43">
        <v>144</v>
      </c>
      <c r="K26" s="43">
        <v>0</v>
      </c>
      <c r="L26" s="43">
        <v>144</v>
      </c>
      <c r="M26" s="70" t="s">
        <v>58</v>
      </c>
      <c r="N26" s="70" t="s">
        <v>54</v>
      </c>
      <c r="O26" s="70" t="s">
        <v>55</v>
      </c>
      <c r="P26" s="60">
        <v>12</v>
      </c>
      <c r="Q26" s="70" t="s">
        <v>55</v>
      </c>
    </row>
    <row r="27" ht="30.6" customHeight="1" spans="1:17">
      <c r="A27" s="42"/>
      <c r="B27" s="42"/>
      <c r="C27" s="43" t="s">
        <v>59</v>
      </c>
      <c r="D27" s="44" t="s">
        <v>60</v>
      </c>
      <c r="E27" s="45"/>
      <c r="F27" s="46"/>
      <c r="G27" s="43">
        <v>3</v>
      </c>
      <c r="H27" s="43">
        <v>3</v>
      </c>
      <c r="I27" s="43">
        <v>0</v>
      </c>
      <c r="J27" s="43">
        <v>54</v>
      </c>
      <c r="K27" s="43">
        <v>54</v>
      </c>
      <c r="L27" s="43">
        <v>0</v>
      </c>
      <c r="M27" s="43">
        <v>1</v>
      </c>
      <c r="N27" s="70" t="s">
        <v>54</v>
      </c>
      <c r="O27" s="70" t="s">
        <v>55</v>
      </c>
      <c r="P27" s="71" t="s">
        <v>61</v>
      </c>
      <c r="Q27" s="70" t="s">
        <v>55</v>
      </c>
    </row>
    <row r="28" ht="28.8" customHeight="1" spans="1:17">
      <c r="A28" s="42"/>
      <c r="B28" s="42"/>
      <c r="C28" s="43" t="s">
        <v>62</v>
      </c>
      <c r="D28" s="44" t="s">
        <v>63</v>
      </c>
      <c r="E28" s="45"/>
      <c r="F28" s="46"/>
      <c r="G28" s="43">
        <v>3</v>
      </c>
      <c r="H28" s="43">
        <v>3</v>
      </c>
      <c r="I28" s="43">
        <v>0</v>
      </c>
      <c r="J28" s="43">
        <v>54</v>
      </c>
      <c r="K28" s="43">
        <v>54</v>
      </c>
      <c r="L28" s="43">
        <v>0</v>
      </c>
      <c r="M28" s="43">
        <v>2</v>
      </c>
      <c r="N28" s="70" t="s">
        <v>54</v>
      </c>
      <c r="O28" s="70" t="s">
        <v>55</v>
      </c>
      <c r="P28" s="71" t="s">
        <v>64</v>
      </c>
      <c r="Q28" s="70" t="s">
        <v>55</v>
      </c>
    </row>
    <row r="29" ht="57.6" customHeight="1" spans="1:17">
      <c r="A29" s="42"/>
      <c r="B29" s="42"/>
      <c r="C29" s="43" t="s">
        <v>65</v>
      </c>
      <c r="D29" s="44" t="s">
        <v>66</v>
      </c>
      <c r="E29" s="45"/>
      <c r="F29" s="46"/>
      <c r="G29" s="43">
        <v>3</v>
      </c>
      <c r="H29" s="43">
        <v>3</v>
      </c>
      <c r="I29" s="43">
        <v>0</v>
      </c>
      <c r="J29" s="43">
        <v>54</v>
      </c>
      <c r="K29" s="43">
        <v>54</v>
      </c>
      <c r="L29" s="43">
        <v>0</v>
      </c>
      <c r="M29" s="43">
        <v>4</v>
      </c>
      <c r="N29" s="70" t="s">
        <v>54</v>
      </c>
      <c r="O29" s="70" t="s">
        <v>55</v>
      </c>
      <c r="P29" s="71" t="s">
        <v>61</v>
      </c>
      <c r="Q29" s="70" t="s">
        <v>55</v>
      </c>
    </row>
    <row r="30" ht="28.8" customHeight="1" spans="1:17">
      <c r="A30" s="42"/>
      <c r="B30" s="42"/>
      <c r="C30" s="43" t="s">
        <v>67</v>
      </c>
      <c r="D30" s="44" t="s">
        <v>68</v>
      </c>
      <c r="E30" s="45"/>
      <c r="F30" s="46"/>
      <c r="G30" s="43">
        <v>3</v>
      </c>
      <c r="H30" s="43">
        <v>3</v>
      </c>
      <c r="I30" s="43">
        <v>0</v>
      </c>
      <c r="J30" s="43">
        <v>54</v>
      </c>
      <c r="K30" s="43">
        <v>54</v>
      </c>
      <c r="L30" s="43">
        <v>0</v>
      </c>
      <c r="M30" s="43">
        <v>3</v>
      </c>
      <c r="N30" s="70" t="s">
        <v>54</v>
      </c>
      <c r="O30" s="70" t="s">
        <v>55</v>
      </c>
      <c r="P30" s="71" t="s">
        <v>61</v>
      </c>
      <c r="Q30" s="70" t="s">
        <v>55</v>
      </c>
    </row>
    <row r="31" ht="57.6" customHeight="1" spans="1:17">
      <c r="A31" s="42"/>
      <c r="B31" s="42"/>
      <c r="C31" s="43" t="s">
        <v>69</v>
      </c>
      <c r="D31" s="44" t="s">
        <v>70</v>
      </c>
      <c r="E31" s="45"/>
      <c r="F31" s="46"/>
      <c r="G31" s="43">
        <v>3</v>
      </c>
      <c r="H31" s="43">
        <v>3</v>
      </c>
      <c r="I31" s="43">
        <v>0</v>
      </c>
      <c r="J31" s="43">
        <v>54</v>
      </c>
      <c r="K31" s="43">
        <v>54</v>
      </c>
      <c r="L31" s="43">
        <v>0</v>
      </c>
      <c r="M31" s="43">
        <v>1</v>
      </c>
      <c r="N31" s="70" t="s">
        <v>54</v>
      </c>
      <c r="O31" s="70" t="s">
        <v>55</v>
      </c>
      <c r="P31" s="71" t="s">
        <v>61</v>
      </c>
      <c r="Q31" s="70" t="s">
        <v>55</v>
      </c>
    </row>
    <row r="32" ht="45" customHeight="1" spans="1:17">
      <c r="A32" s="42"/>
      <c r="B32" s="42"/>
      <c r="C32" s="43" t="s">
        <v>71</v>
      </c>
      <c r="D32" s="44" t="s">
        <v>72</v>
      </c>
      <c r="E32" s="45"/>
      <c r="F32" s="46"/>
      <c r="G32" s="43">
        <v>1</v>
      </c>
      <c r="H32" s="43">
        <v>1</v>
      </c>
      <c r="I32" s="43">
        <v>0</v>
      </c>
      <c r="J32" s="43">
        <v>18</v>
      </c>
      <c r="K32" s="43">
        <v>18</v>
      </c>
      <c r="L32" s="43">
        <v>0</v>
      </c>
      <c r="M32" s="43">
        <v>2</v>
      </c>
      <c r="N32" s="70" t="s">
        <v>54</v>
      </c>
      <c r="O32" s="70" t="s">
        <v>55</v>
      </c>
      <c r="P32" s="71" t="s">
        <v>61</v>
      </c>
      <c r="Q32" s="70" t="s">
        <v>55</v>
      </c>
    </row>
    <row r="33" ht="28.8" customHeight="1" spans="1:17">
      <c r="A33" s="42"/>
      <c r="B33" s="42"/>
      <c r="C33" s="43" t="s">
        <v>73</v>
      </c>
      <c r="D33" s="44" t="s">
        <v>74</v>
      </c>
      <c r="E33" s="45"/>
      <c r="F33" s="46"/>
      <c r="G33" s="43">
        <v>3</v>
      </c>
      <c r="H33" s="43">
        <v>1</v>
      </c>
      <c r="I33" s="43">
        <v>2</v>
      </c>
      <c r="J33" s="43">
        <v>90</v>
      </c>
      <c r="K33" s="43">
        <v>18</v>
      </c>
      <c r="L33" s="43">
        <v>72</v>
      </c>
      <c r="M33" s="70" t="s">
        <v>75</v>
      </c>
      <c r="N33" s="70" t="s">
        <v>54</v>
      </c>
      <c r="O33" s="70" t="s">
        <v>55</v>
      </c>
      <c r="P33" s="71" t="s">
        <v>61</v>
      </c>
      <c r="Q33" s="70" t="s">
        <v>55</v>
      </c>
    </row>
    <row r="34" ht="28.8" customHeight="1" spans="1:17">
      <c r="A34" s="42"/>
      <c r="B34" s="42"/>
      <c r="C34" s="43" t="s">
        <v>76</v>
      </c>
      <c r="D34" s="44" t="s">
        <v>77</v>
      </c>
      <c r="E34" s="45"/>
      <c r="F34" s="46"/>
      <c r="G34" s="43">
        <v>1</v>
      </c>
      <c r="H34" s="43">
        <v>0.5</v>
      </c>
      <c r="I34" s="43">
        <v>0.5</v>
      </c>
      <c r="J34" s="43">
        <v>27</v>
      </c>
      <c r="K34" s="43">
        <v>18</v>
      </c>
      <c r="L34" s="43">
        <v>0</v>
      </c>
      <c r="M34" s="70" t="s">
        <v>78</v>
      </c>
      <c r="N34" s="70" t="s">
        <v>54</v>
      </c>
      <c r="O34" s="70" t="s">
        <v>55</v>
      </c>
      <c r="P34" s="60">
        <v>9</v>
      </c>
      <c r="Q34" s="70" t="s">
        <v>55</v>
      </c>
    </row>
    <row r="35" ht="28.8" customHeight="1" spans="1:17">
      <c r="A35" s="42"/>
      <c r="B35" s="42"/>
      <c r="C35" s="43" t="s">
        <v>79</v>
      </c>
      <c r="D35" s="44" t="s">
        <v>80</v>
      </c>
      <c r="E35" s="45"/>
      <c r="F35" s="46"/>
      <c r="G35" s="43">
        <v>4</v>
      </c>
      <c r="H35" s="43">
        <v>2</v>
      </c>
      <c r="I35" s="43">
        <v>2</v>
      </c>
      <c r="J35" s="43" t="s">
        <v>81</v>
      </c>
      <c r="K35" s="43">
        <v>36</v>
      </c>
      <c r="L35" s="43" t="s">
        <v>82</v>
      </c>
      <c r="M35" s="43">
        <v>1</v>
      </c>
      <c r="N35" s="70" t="s">
        <v>54</v>
      </c>
      <c r="O35" s="70" t="s">
        <v>55</v>
      </c>
      <c r="P35" s="71" t="s">
        <v>61</v>
      </c>
      <c r="Q35" s="70" t="s">
        <v>55</v>
      </c>
    </row>
    <row r="36" ht="28.8" customHeight="1" spans="1:17">
      <c r="A36" s="42"/>
      <c r="B36" s="42"/>
      <c r="C36" s="43" t="s">
        <v>83</v>
      </c>
      <c r="D36" s="44" t="s">
        <v>84</v>
      </c>
      <c r="E36" s="45"/>
      <c r="F36" s="46"/>
      <c r="G36" s="43">
        <v>1</v>
      </c>
      <c r="H36" s="43">
        <v>0.5</v>
      </c>
      <c r="I36" s="43">
        <v>0.5</v>
      </c>
      <c r="J36" s="43">
        <v>36</v>
      </c>
      <c r="K36" s="43">
        <v>9</v>
      </c>
      <c r="L36" s="43">
        <v>27</v>
      </c>
      <c r="M36" s="70" t="s">
        <v>75</v>
      </c>
      <c r="N36" s="70" t="s">
        <v>54</v>
      </c>
      <c r="O36" s="70" t="s">
        <v>55</v>
      </c>
      <c r="P36" s="71" t="s">
        <v>61</v>
      </c>
      <c r="Q36" s="70" t="s">
        <v>55</v>
      </c>
    </row>
    <row r="37" ht="28.8" customHeight="1" spans="1:17">
      <c r="A37" s="42"/>
      <c r="B37" s="42"/>
      <c r="C37" s="43" t="s">
        <v>85</v>
      </c>
      <c r="D37" s="44" t="s">
        <v>86</v>
      </c>
      <c r="E37" s="45"/>
      <c r="F37" s="46"/>
      <c r="G37" s="43">
        <v>2</v>
      </c>
      <c r="H37" s="43">
        <v>2</v>
      </c>
      <c r="I37" s="43">
        <v>0</v>
      </c>
      <c r="J37" s="43">
        <v>36</v>
      </c>
      <c r="K37" s="43">
        <v>36</v>
      </c>
      <c r="L37" s="43">
        <v>0</v>
      </c>
      <c r="M37" s="70" t="s">
        <v>78</v>
      </c>
      <c r="N37" s="70" t="s">
        <v>54</v>
      </c>
      <c r="O37" s="70" t="s">
        <v>55</v>
      </c>
      <c r="P37" s="71" t="s">
        <v>61</v>
      </c>
      <c r="Q37" s="70" t="s">
        <v>55</v>
      </c>
    </row>
    <row r="38" ht="78.6" customHeight="1" spans="1:17">
      <c r="A38" s="47" t="s">
        <v>87</v>
      </c>
      <c r="B38" s="47"/>
      <c r="C38" s="43" t="s">
        <v>88</v>
      </c>
      <c r="D38" s="48" t="s">
        <v>89</v>
      </c>
      <c r="E38" s="49"/>
      <c r="F38" s="50"/>
      <c r="G38" s="43">
        <v>8</v>
      </c>
      <c r="H38" s="43" t="s">
        <v>54</v>
      </c>
      <c r="I38" s="43" t="s">
        <v>54</v>
      </c>
      <c r="J38" s="43" t="s">
        <v>90</v>
      </c>
      <c r="K38" s="43" t="s">
        <v>54</v>
      </c>
      <c r="L38" s="43" t="s">
        <v>54</v>
      </c>
      <c r="M38" s="70" t="s">
        <v>75</v>
      </c>
      <c r="N38" s="70" t="s">
        <v>54</v>
      </c>
      <c r="O38" s="70" t="s">
        <v>55</v>
      </c>
      <c r="P38" s="71" t="s">
        <v>91</v>
      </c>
      <c r="Q38" s="70" t="s">
        <v>55</v>
      </c>
    </row>
    <row r="39" ht="32" customHeight="1" spans="1:17">
      <c r="A39" s="42" t="s">
        <v>16</v>
      </c>
      <c r="B39" s="51" t="s">
        <v>17</v>
      </c>
      <c r="C39" s="22" t="s">
        <v>92</v>
      </c>
      <c r="D39" s="52" t="s">
        <v>93</v>
      </c>
      <c r="E39" s="53"/>
      <c r="F39" s="54"/>
      <c r="G39" s="51">
        <v>3</v>
      </c>
      <c r="H39" s="51">
        <v>3</v>
      </c>
      <c r="I39" s="51"/>
      <c r="J39" s="51">
        <v>54</v>
      </c>
      <c r="K39" s="51">
        <v>54</v>
      </c>
      <c r="L39" s="51"/>
      <c r="M39" s="51">
        <v>1</v>
      </c>
      <c r="N39" s="51" t="s">
        <v>94</v>
      </c>
      <c r="O39" s="70" t="s">
        <v>55</v>
      </c>
      <c r="P39" s="58">
        <v>4</v>
      </c>
      <c r="Q39" s="70" t="s">
        <v>55</v>
      </c>
    </row>
    <row r="40" ht="32" customHeight="1" spans="1:17">
      <c r="A40" s="42"/>
      <c r="B40" s="51"/>
      <c r="C40" s="22" t="s">
        <v>95</v>
      </c>
      <c r="D40" s="55" t="s">
        <v>96</v>
      </c>
      <c r="E40" s="56"/>
      <c r="F40" s="57"/>
      <c r="G40" s="51">
        <v>3</v>
      </c>
      <c r="H40" s="51">
        <v>3</v>
      </c>
      <c r="I40" s="51"/>
      <c r="J40" s="51">
        <v>54</v>
      </c>
      <c r="K40" s="51">
        <v>54</v>
      </c>
      <c r="L40" s="51"/>
      <c r="M40" s="51">
        <v>1</v>
      </c>
      <c r="N40" s="70" t="s">
        <v>97</v>
      </c>
      <c r="O40" s="70" t="s">
        <v>55</v>
      </c>
      <c r="P40" s="58" t="s">
        <v>98</v>
      </c>
      <c r="Q40" s="70" t="s">
        <v>55</v>
      </c>
    </row>
    <row r="41" ht="32" customHeight="1" spans="1:17">
      <c r="A41" s="42"/>
      <c r="B41" s="51"/>
      <c r="C41" s="22" t="s">
        <v>99</v>
      </c>
      <c r="D41" s="55" t="s">
        <v>100</v>
      </c>
      <c r="E41" s="56"/>
      <c r="F41" s="57"/>
      <c r="G41" s="58">
        <v>2</v>
      </c>
      <c r="H41" s="58">
        <v>2</v>
      </c>
      <c r="I41" s="58"/>
      <c r="J41" s="58">
        <v>36</v>
      </c>
      <c r="K41" s="58">
        <v>36</v>
      </c>
      <c r="L41" s="58"/>
      <c r="M41" s="51">
        <v>2</v>
      </c>
      <c r="N41" s="70" t="s">
        <v>101</v>
      </c>
      <c r="O41" s="70" t="s">
        <v>55</v>
      </c>
      <c r="P41" s="70" t="s">
        <v>102</v>
      </c>
      <c r="Q41" s="70" t="s">
        <v>55</v>
      </c>
    </row>
    <row r="42" ht="31" customHeight="1" spans="1:17">
      <c r="A42" s="42"/>
      <c r="B42" s="51" t="s">
        <v>19</v>
      </c>
      <c r="C42" s="22" t="s">
        <v>103</v>
      </c>
      <c r="D42" s="55" t="s">
        <v>104</v>
      </c>
      <c r="E42" s="56"/>
      <c r="F42" s="57"/>
      <c r="G42" s="58">
        <v>3</v>
      </c>
      <c r="H42" s="58">
        <v>3</v>
      </c>
      <c r="I42" s="58"/>
      <c r="J42" s="58">
        <v>54</v>
      </c>
      <c r="K42" s="58">
        <v>54</v>
      </c>
      <c r="L42" s="58"/>
      <c r="M42" s="51">
        <v>1</v>
      </c>
      <c r="N42" s="70" t="s">
        <v>105</v>
      </c>
      <c r="O42" s="70" t="s">
        <v>55</v>
      </c>
      <c r="P42" s="58" t="s">
        <v>106</v>
      </c>
      <c r="Q42" s="70" t="s">
        <v>107</v>
      </c>
    </row>
    <row r="43" ht="27" spans="1:17">
      <c r="A43" s="42"/>
      <c r="B43" s="51"/>
      <c r="C43" s="22" t="s">
        <v>108</v>
      </c>
      <c r="D43" s="55" t="s">
        <v>109</v>
      </c>
      <c r="E43" s="56"/>
      <c r="F43" s="57"/>
      <c r="G43" s="58">
        <v>2</v>
      </c>
      <c r="H43" s="58">
        <v>1</v>
      </c>
      <c r="I43" s="58">
        <v>1</v>
      </c>
      <c r="J43" s="58">
        <v>54</v>
      </c>
      <c r="K43" s="58">
        <v>18</v>
      </c>
      <c r="L43" s="58">
        <v>36</v>
      </c>
      <c r="M43" s="51">
        <v>1</v>
      </c>
      <c r="N43" s="70" t="s">
        <v>110</v>
      </c>
      <c r="O43" s="70" t="s">
        <v>55</v>
      </c>
      <c r="P43" s="58" t="s">
        <v>111</v>
      </c>
      <c r="Q43" s="70" t="s">
        <v>55</v>
      </c>
    </row>
    <row r="44" ht="27" spans="1:17">
      <c r="A44" s="42"/>
      <c r="B44" s="51"/>
      <c r="C44" s="22" t="s">
        <v>112</v>
      </c>
      <c r="D44" s="55" t="s">
        <v>113</v>
      </c>
      <c r="E44" s="56"/>
      <c r="F44" s="57"/>
      <c r="G44" s="58">
        <v>2</v>
      </c>
      <c r="H44" s="58">
        <v>2</v>
      </c>
      <c r="I44" s="58"/>
      <c r="J44" s="58">
        <v>36</v>
      </c>
      <c r="K44" s="58">
        <v>36</v>
      </c>
      <c r="L44" s="58"/>
      <c r="M44" s="51">
        <v>2</v>
      </c>
      <c r="N44" s="70" t="s">
        <v>114</v>
      </c>
      <c r="O44" s="70" t="s">
        <v>55</v>
      </c>
      <c r="P44" s="58" t="s">
        <v>115</v>
      </c>
      <c r="Q44" s="70" t="s">
        <v>55</v>
      </c>
    </row>
    <row r="45" ht="27" spans="1:17">
      <c r="A45" s="42"/>
      <c r="B45" s="51"/>
      <c r="C45" s="59" t="s">
        <v>116</v>
      </c>
      <c r="D45" s="60" t="s">
        <v>117</v>
      </c>
      <c r="E45" s="60"/>
      <c r="F45" s="60"/>
      <c r="G45" s="58">
        <v>2</v>
      </c>
      <c r="H45" s="58">
        <v>1</v>
      </c>
      <c r="I45" s="58">
        <v>1</v>
      </c>
      <c r="J45" s="58">
        <v>54</v>
      </c>
      <c r="K45" s="58">
        <v>18</v>
      </c>
      <c r="L45" s="58">
        <v>36</v>
      </c>
      <c r="M45" s="62">
        <v>2</v>
      </c>
      <c r="N45" s="70" t="s">
        <v>118</v>
      </c>
      <c r="O45" s="70" t="s">
        <v>55</v>
      </c>
      <c r="P45" s="58" t="s">
        <v>119</v>
      </c>
      <c r="Q45" s="70" t="s">
        <v>55</v>
      </c>
    </row>
    <row r="46" ht="28" customHeight="1" spans="1:17">
      <c r="A46" s="42"/>
      <c r="B46" s="51"/>
      <c r="C46" s="58" t="s">
        <v>120</v>
      </c>
      <c r="D46" s="60" t="s">
        <v>121</v>
      </c>
      <c r="E46" s="60"/>
      <c r="F46" s="60"/>
      <c r="G46" s="60">
        <v>2</v>
      </c>
      <c r="H46" s="58">
        <v>2</v>
      </c>
      <c r="I46" s="58"/>
      <c r="J46" s="60">
        <v>36</v>
      </c>
      <c r="K46" s="58">
        <v>36</v>
      </c>
      <c r="L46" s="58"/>
      <c r="M46" s="58">
        <v>3</v>
      </c>
      <c r="N46" s="71" t="s">
        <v>122</v>
      </c>
      <c r="O46" s="71" t="s">
        <v>55</v>
      </c>
      <c r="P46" s="71" t="s">
        <v>123</v>
      </c>
      <c r="Q46" s="70" t="s">
        <v>107</v>
      </c>
    </row>
    <row r="47" ht="28" customHeight="1" spans="1:17">
      <c r="A47" s="42"/>
      <c r="B47" s="51"/>
      <c r="C47" s="58" t="s">
        <v>124</v>
      </c>
      <c r="D47" s="60" t="s">
        <v>125</v>
      </c>
      <c r="E47" s="60"/>
      <c r="F47" s="60"/>
      <c r="G47" s="58">
        <v>3</v>
      </c>
      <c r="H47" s="58">
        <v>2</v>
      </c>
      <c r="I47" s="58">
        <v>1</v>
      </c>
      <c r="J47" s="58">
        <v>72</v>
      </c>
      <c r="K47" s="58">
        <v>36</v>
      </c>
      <c r="L47" s="58">
        <v>36</v>
      </c>
      <c r="M47" s="58">
        <v>3</v>
      </c>
      <c r="N47" s="71" t="s">
        <v>126</v>
      </c>
      <c r="O47" s="71" t="s">
        <v>55</v>
      </c>
      <c r="P47" s="71" t="s">
        <v>123</v>
      </c>
      <c r="Q47" s="70" t="s">
        <v>107</v>
      </c>
    </row>
    <row r="48" ht="28" customHeight="1" spans="1:17">
      <c r="A48" s="42"/>
      <c r="B48" s="51"/>
      <c r="C48" s="58" t="s">
        <v>127</v>
      </c>
      <c r="D48" s="60" t="s">
        <v>128</v>
      </c>
      <c r="E48" s="60"/>
      <c r="F48" s="60"/>
      <c r="G48" s="60">
        <v>3</v>
      </c>
      <c r="H48" s="58">
        <v>3</v>
      </c>
      <c r="I48" s="58"/>
      <c r="J48" s="58">
        <v>54</v>
      </c>
      <c r="K48" s="58">
        <v>54</v>
      </c>
      <c r="L48" s="58"/>
      <c r="M48" s="58">
        <v>3</v>
      </c>
      <c r="N48" s="71" t="s">
        <v>97</v>
      </c>
      <c r="O48" s="71" t="s">
        <v>55</v>
      </c>
      <c r="P48" s="71" t="s">
        <v>123</v>
      </c>
      <c r="Q48" s="70" t="s">
        <v>107</v>
      </c>
    </row>
    <row r="49" ht="28" customHeight="1" spans="1:17">
      <c r="A49" s="42"/>
      <c r="B49" s="51"/>
      <c r="C49" s="58" t="s">
        <v>129</v>
      </c>
      <c r="D49" s="60" t="s">
        <v>130</v>
      </c>
      <c r="E49" s="60"/>
      <c r="F49" s="60"/>
      <c r="G49" s="58">
        <v>4</v>
      </c>
      <c r="H49" s="58">
        <v>4</v>
      </c>
      <c r="I49" s="58"/>
      <c r="J49" s="58">
        <v>72</v>
      </c>
      <c r="K49" s="58">
        <v>72</v>
      </c>
      <c r="L49" s="58"/>
      <c r="M49" s="58">
        <v>4</v>
      </c>
      <c r="N49" s="71" t="s">
        <v>131</v>
      </c>
      <c r="O49" s="71" t="s">
        <v>55</v>
      </c>
      <c r="P49" s="71" t="s">
        <v>123</v>
      </c>
      <c r="Q49" s="70" t="s">
        <v>107</v>
      </c>
    </row>
    <row r="50" ht="28" customHeight="1" spans="1:17">
      <c r="A50" s="42"/>
      <c r="B50" s="51" t="s">
        <v>20</v>
      </c>
      <c r="C50" s="58" t="s">
        <v>132</v>
      </c>
      <c r="D50" s="60" t="s">
        <v>133</v>
      </c>
      <c r="E50" s="60"/>
      <c r="F50" s="60" t="s">
        <v>134</v>
      </c>
      <c r="G50" s="58">
        <v>3</v>
      </c>
      <c r="H50" s="58">
        <v>2</v>
      </c>
      <c r="I50" s="58">
        <v>1</v>
      </c>
      <c r="J50" s="58">
        <v>72</v>
      </c>
      <c r="K50" s="58">
        <v>36</v>
      </c>
      <c r="L50" s="58">
        <v>36</v>
      </c>
      <c r="M50" s="58">
        <v>4</v>
      </c>
      <c r="N50" s="71" t="s">
        <v>126</v>
      </c>
      <c r="O50" s="71" t="s">
        <v>55</v>
      </c>
      <c r="P50" s="71" t="s">
        <v>123</v>
      </c>
      <c r="Q50" s="70" t="s">
        <v>107</v>
      </c>
    </row>
    <row r="51" ht="28" customHeight="1" spans="1:17">
      <c r="A51" s="42"/>
      <c r="B51" s="51"/>
      <c r="C51" s="58" t="s">
        <v>135</v>
      </c>
      <c r="D51" s="60" t="s">
        <v>136</v>
      </c>
      <c r="E51" s="60"/>
      <c r="F51" s="60" t="s">
        <v>137</v>
      </c>
      <c r="G51" s="58">
        <v>2</v>
      </c>
      <c r="H51" s="58">
        <v>2</v>
      </c>
      <c r="I51" s="58"/>
      <c r="J51" s="58">
        <v>36</v>
      </c>
      <c r="K51" s="58">
        <v>36</v>
      </c>
      <c r="L51" s="58"/>
      <c r="M51" s="58">
        <v>4</v>
      </c>
      <c r="N51" s="71" t="s">
        <v>138</v>
      </c>
      <c r="O51" s="71" t="s">
        <v>55</v>
      </c>
      <c r="P51" s="71" t="s">
        <v>139</v>
      </c>
      <c r="Q51" s="70" t="s">
        <v>55</v>
      </c>
    </row>
    <row r="52" ht="28" customHeight="1" spans="1:17">
      <c r="A52" s="42"/>
      <c r="B52" s="51"/>
      <c r="C52" s="58" t="s">
        <v>140</v>
      </c>
      <c r="D52" s="60" t="s">
        <v>141</v>
      </c>
      <c r="E52" s="60"/>
      <c r="F52" s="60"/>
      <c r="G52" s="58">
        <v>3</v>
      </c>
      <c r="H52" s="58">
        <v>2</v>
      </c>
      <c r="I52" s="58">
        <v>1</v>
      </c>
      <c r="J52" s="58">
        <v>72</v>
      </c>
      <c r="K52" s="58">
        <v>36</v>
      </c>
      <c r="L52" s="58">
        <v>36</v>
      </c>
      <c r="M52" s="58">
        <v>5</v>
      </c>
      <c r="N52" s="71" t="s">
        <v>142</v>
      </c>
      <c r="O52" s="71" t="s">
        <v>55</v>
      </c>
      <c r="P52" s="71" t="s">
        <v>123</v>
      </c>
      <c r="Q52" s="70" t="s">
        <v>107</v>
      </c>
    </row>
    <row r="53" ht="28" customHeight="1" spans="1:17">
      <c r="A53" s="42"/>
      <c r="B53" s="51"/>
      <c r="C53" s="58" t="s">
        <v>143</v>
      </c>
      <c r="D53" s="60" t="s">
        <v>144</v>
      </c>
      <c r="E53" s="60"/>
      <c r="F53" s="60"/>
      <c r="G53" s="58">
        <v>2</v>
      </c>
      <c r="H53" s="58">
        <v>2</v>
      </c>
      <c r="I53" s="58"/>
      <c r="J53" s="58">
        <v>36</v>
      </c>
      <c r="K53" s="58">
        <v>36</v>
      </c>
      <c r="L53" s="58"/>
      <c r="M53" s="58">
        <v>5</v>
      </c>
      <c r="N53" s="71" t="s">
        <v>145</v>
      </c>
      <c r="O53" s="71" t="s">
        <v>55</v>
      </c>
      <c r="P53" s="71" t="s">
        <v>146</v>
      </c>
      <c r="Q53" s="70" t="s">
        <v>55</v>
      </c>
    </row>
    <row r="54" ht="28" customHeight="1" spans="1:17">
      <c r="A54" s="42"/>
      <c r="B54" s="51"/>
      <c r="C54" s="58" t="s">
        <v>147</v>
      </c>
      <c r="D54" s="60" t="s">
        <v>148</v>
      </c>
      <c r="E54" s="60"/>
      <c r="F54" s="60"/>
      <c r="G54" s="58">
        <v>3</v>
      </c>
      <c r="H54" s="58">
        <v>3</v>
      </c>
      <c r="I54" s="58"/>
      <c r="J54" s="58">
        <v>54</v>
      </c>
      <c r="K54" s="58">
        <v>54</v>
      </c>
      <c r="L54" s="58"/>
      <c r="M54" s="58">
        <v>5</v>
      </c>
      <c r="N54" s="71" t="s">
        <v>149</v>
      </c>
      <c r="O54" s="71" t="s">
        <v>55</v>
      </c>
      <c r="P54" s="71" t="s">
        <v>58</v>
      </c>
      <c r="Q54" s="70" t="s">
        <v>107</v>
      </c>
    </row>
    <row r="55" ht="28" customHeight="1" spans="1:17">
      <c r="A55" s="42"/>
      <c r="B55" s="51"/>
      <c r="C55" s="58" t="s">
        <v>150</v>
      </c>
      <c r="D55" s="60" t="s">
        <v>151</v>
      </c>
      <c r="E55" s="60"/>
      <c r="F55" s="60"/>
      <c r="G55" s="58">
        <v>3</v>
      </c>
      <c r="H55" s="58">
        <v>3</v>
      </c>
      <c r="I55" s="58"/>
      <c r="J55" s="58">
        <v>54</v>
      </c>
      <c r="K55" s="58">
        <v>54</v>
      </c>
      <c r="L55" s="58"/>
      <c r="M55" s="58">
        <v>5</v>
      </c>
      <c r="N55" s="71" t="s">
        <v>152</v>
      </c>
      <c r="O55" s="71" t="s">
        <v>55</v>
      </c>
      <c r="P55" s="71" t="s">
        <v>123</v>
      </c>
      <c r="Q55" s="70" t="s">
        <v>107</v>
      </c>
    </row>
    <row r="56" ht="28" customHeight="1" spans="1:17">
      <c r="A56" s="42"/>
      <c r="B56" s="51"/>
      <c r="C56" s="58" t="s">
        <v>153</v>
      </c>
      <c r="D56" s="60" t="s">
        <v>154</v>
      </c>
      <c r="E56" s="60"/>
      <c r="F56" s="60" t="s">
        <v>155</v>
      </c>
      <c r="G56" s="58">
        <v>3</v>
      </c>
      <c r="H56" s="58">
        <v>3</v>
      </c>
      <c r="I56" s="58"/>
      <c r="J56" s="58">
        <v>54</v>
      </c>
      <c r="K56" s="58">
        <v>54</v>
      </c>
      <c r="L56" s="58"/>
      <c r="M56" s="58">
        <v>6</v>
      </c>
      <c r="N56" s="58" t="s">
        <v>156</v>
      </c>
      <c r="O56" s="71" t="s">
        <v>55</v>
      </c>
      <c r="P56" s="71" t="s">
        <v>139</v>
      </c>
      <c r="Q56" s="70" t="s">
        <v>107</v>
      </c>
    </row>
    <row r="57" ht="28" customHeight="1" spans="1:17">
      <c r="A57" s="42"/>
      <c r="B57" s="51"/>
      <c r="C57" s="58" t="s">
        <v>157</v>
      </c>
      <c r="D57" s="60" t="s">
        <v>158</v>
      </c>
      <c r="E57" s="60"/>
      <c r="F57" s="60" t="s">
        <v>159</v>
      </c>
      <c r="G57" s="58">
        <v>2</v>
      </c>
      <c r="H57" s="58">
        <v>2</v>
      </c>
      <c r="I57" s="58"/>
      <c r="J57" s="58">
        <v>36</v>
      </c>
      <c r="K57" s="58">
        <v>36</v>
      </c>
      <c r="L57" s="58"/>
      <c r="M57" s="58">
        <v>6</v>
      </c>
      <c r="N57" s="58" t="s">
        <v>152</v>
      </c>
      <c r="O57" s="71" t="s">
        <v>55</v>
      </c>
      <c r="P57" s="71" t="s">
        <v>123</v>
      </c>
      <c r="Q57" s="70" t="s">
        <v>55</v>
      </c>
    </row>
    <row r="58" ht="28" customHeight="1" spans="1:17">
      <c r="A58" s="42"/>
      <c r="B58" s="51"/>
      <c r="C58" s="58" t="s">
        <v>160</v>
      </c>
      <c r="D58" s="60" t="s">
        <v>161</v>
      </c>
      <c r="E58" s="60"/>
      <c r="F58" s="60"/>
      <c r="G58" s="58">
        <v>2</v>
      </c>
      <c r="H58" s="58">
        <v>2</v>
      </c>
      <c r="I58" s="58"/>
      <c r="J58" s="58">
        <v>36</v>
      </c>
      <c r="K58" s="58">
        <v>36</v>
      </c>
      <c r="L58" s="58"/>
      <c r="M58" s="58">
        <v>7</v>
      </c>
      <c r="N58" s="58" t="s">
        <v>162</v>
      </c>
      <c r="O58" s="71" t="s">
        <v>55</v>
      </c>
      <c r="P58" s="71" t="s">
        <v>123</v>
      </c>
      <c r="Q58" s="70" t="s">
        <v>55</v>
      </c>
    </row>
    <row r="59" ht="28" customHeight="1" spans="1:17">
      <c r="A59" s="42"/>
      <c r="B59" s="51" t="s">
        <v>21</v>
      </c>
      <c r="C59" s="58" t="s">
        <v>163</v>
      </c>
      <c r="D59" s="60" t="s">
        <v>164</v>
      </c>
      <c r="E59" s="60"/>
      <c r="F59" s="60"/>
      <c r="G59" s="58">
        <v>2</v>
      </c>
      <c r="H59" s="58"/>
      <c r="I59" s="58">
        <v>2</v>
      </c>
      <c r="J59" s="58">
        <v>72</v>
      </c>
      <c r="K59" s="58"/>
      <c r="L59" s="58">
        <v>72</v>
      </c>
      <c r="M59" s="58">
        <v>4</v>
      </c>
      <c r="N59" s="58" t="s">
        <v>165</v>
      </c>
      <c r="O59" s="71" t="s">
        <v>55</v>
      </c>
      <c r="P59" s="71" t="s">
        <v>166</v>
      </c>
      <c r="Q59" s="70" t="s">
        <v>55</v>
      </c>
    </row>
    <row r="60" ht="28" customHeight="1" spans="1:17">
      <c r="A60" s="42"/>
      <c r="B60" s="51"/>
      <c r="C60" s="58" t="s">
        <v>167</v>
      </c>
      <c r="D60" s="60" t="s">
        <v>168</v>
      </c>
      <c r="E60" s="60"/>
      <c r="F60" s="60"/>
      <c r="G60" s="58">
        <v>4</v>
      </c>
      <c r="H60" s="58"/>
      <c r="I60" s="58">
        <v>4</v>
      </c>
      <c r="J60" s="58" t="s">
        <v>169</v>
      </c>
      <c r="K60" s="58"/>
      <c r="L60" s="58" t="s">
        <v>169</v>
      </c>
      <c r="M60" s="58">
        <v>7</v>
      </c>
      <c r="N60" s="58" t="s">
        <v>165</v>
      </c>
      <c r="O60" s="71" t="s">
        <v>55</v>
      </c>
      <c r="P60" s="71" t="s">
        <v>170</v>
      </c>
      <c r="Q60" s="70" t="s">
        <v>55</v>
      </c>
    </row>
    <row r="61" ht="28" customHeight="1" spans="1:17">
      <c r="A61" s="42"/>
      <c r="B61" s="51"/>
      <c r="C61" s="58" t="s">
        <v>171</v>
      </c>
      <c r="D61" s="60" t="s">
        <v>172</v>
      </c>
      <c r="E61" s="60"/>
      <c r="F61" s="60"/>
      <c r="G61" s="58">
        <v>6</v>
      </c>
      <c r="H61" s="58"/>
      <c r="I61" s="58">
        <v>6</v>
      </c>
      <c r="J61" s="58" t="s">
        <v>173</v>
      </c>
      <c r="K61" s="58"/>
      <c r="L61" s="58" t="s">
        <v>173</v>
      </c>
      <c r="M61" s="58">
        <v>8</v>
      </c>
      <c r="N61" s="58" t="s">
        <v>165</v>
      </c>
      <c r="O61" s="71" t="s">
        <v>55</v>
      </c>
      <c r="P61" s="71" t="s">
        <v>166</v>
      </c>
      <c r="Q61" s="70" t="s">
        <v>55</v>
      </c>
    </row>
    <row r="62" ht="28" customHeight="1" spans="1:17">
      <c r="A62" s="61" t="s">
        <v>22</v>
      </c>
      <c r="B62" s="62" t="s">
        <v>174</v>
      </c>
      <c r="C62" s="59" t="s">
        <v>175</v>
      </c>
      <c r="D62" s="60" t="s">
        <v>176</v>
      </c>
      <c r="E62" s="60"/>
      <c r="F62" s="60"/>
      <c r="G62" s="62">
        <v>1</v>
      </c>
      <c r="H62" s="62">
        <v>1</v>
      </c>
      <c r="I62" s="62"/>
      <c r="J62" s="62">
        <v>18</v>
      </c>
      <c r="K62" s="62">
        <v>18</v>
      </c>
      <c r="L62" s="62"/>
      <c r="M62" s="62">
        <v>1</v>
      </c>
      <c r="N62" s="58" t="s">
        <v>177</v>
      </c>
      <c r="O62" s="71" t="s">
        <v>55</v>
      </c>
      <c r="P62" s="71" t="s">
        <v>178</v>
      </c>
      <c r="Q62" s="70" t="s">
        <v>55</v>
      </c>
    </row>
    <row r="63" ht="28" customHeight="1" spans="1:17">
      <c r="A63" s="61"/>
      <c r="B63" s="62"/>
      <c r="C63" s="59" t="s">
        <v>179</v>
      </c>
      <c r="D63" s="55" t="s">
        <v>180</v>
      </c>
      <c r="E63" s="56"/>
      <c r="F63" s="57"/>
      <c r="G63" s="62">
        <v>3</v>
      </c>
      <c r="H63" s="62">
        <v>3</v>
      </c>
      <c r="I63" s="62"/>
      <c r="J63" s="62">
        <v>54</v>
      </c>
      <c r="K63" s="62">
        <v>54</v>
      </c>
      <c r="L63" s="62"/>
      <c r="M63" s="62">
        <v>1</v>
      </c>
      <c r="N63" s="58" t="s">
        <v>181</v>
      </c>
      <c r="O63" s="71" t="s">
        <v>55</v>
      </c>
      <c r="P63" s="58" t="s">
        <v>182</v>
      </c>
      <c r="Q63" s="70" t="s">
        <v>55</v>
      </c>
    </row>
    <row r="64" ht="28" customHeight="1" spans="1:17">
      <c r="A64" s="61"/>
      <c r="B64" s="62"/>
      <c r="C64" s="59" t="s">
        <v>183</v>
      </c>
      <c r="D64" s="60" t="s">
        <v>184</v>
      </c>
      <c r="E64" s="60"/>
      <c r="F64" s="60"/>
      <c r="G64" s="58">
        <v>2</v>
      </c>
      <c r="H64" s="58">
        <v>2</v>
      </c>
      <c r="I64" s="58"/>
      <c r="J64" s="58">
        <v>36</v>
      </c>
      <c r="K64" s="58">
        <v>36</v>
      </c>
      <c r="L64" s="62"/>
      <c r="M64" s="62">
        <v>2</v>
      </c>
      <c r="N64" s="58" t="s">
        <v>185</v>
      </c>
      <c r="O64" s="71" t="s">
        <v>55</v>
      </c>
      <c r="P64" s="58" t="s">
        <v>186</v>
      </c>
      <c r="Q64" s="70" t="s">
        <v>55</v>
      </c>
    </row>
    <row r="65" ht="28" customHeight="1" spans="1:17">
      <c r="A65" s="61"/>
      <c r="B65" s="62"/>
      <c r="C65" s="59" t="s">
        <v>187</v>
      </c>
      <c r="D65" s="60" t="s">
        <v>188</v>
      </c>
      <c r="E65" s="60"/>
      <c r="F65" s="60"/>
      <c r="G65" s="58">
        <v>2</v>
      </c>
      <c r="H65" s="58">
        <v>2</v>
      </c>
      <c r="I65" s="58"/>
      <c r="J65" s="58">
        <v>36</v>
      </c>
      <c r="K65" s="58">
        <v>36</v>
      </c>
      <c r="L65" s="58"/>
      <c r="M65" s="62">
        <v>2</v>
      </c>
      <c r="N65" s="58" t="s">
        <v>97</v>
      </c>
      <c r="O65" s="71" t="s">
        <v>55</v>
      </c>
      <c r="P65" s="71" t="s">
        <v>123</v>
      </c>
      <c r="Q65" s="70" t="s">
        <v>55</v>
      </c>
    </row>
    <row r="66" ht="28" customHeight="1" spans="1:17">
      <c r="A66" s="61"/>
      <c r="B66" s="62"/>
      <c r="C66" s="22" t="s">
        <v>189</v>
      </c>
      <c r="D66" s="74" t="s">
        <v>190</v>
      </c>
      <c r="E66" s="75"/>
      <c r="F66" s="76"/>
      <c r="G66" s="58">
        <v>2</v>
      </c>
      <c r="H66" s="58">
        <v>2</v>
      </c>
      <c r="I66" s="58"/>
      <c r="J66" s="58">
        <v>36</v>
      </c>
      <c r="K66" s="58">
        <v>36</v>
      </c>
      <c r="L66" s="58"/>
      <c r="M66" s="58">
        <v>2</v>
      </c>
      <c r="N66" s="58" t="s">
        <v>152</v>
      </c>
      <c r="O66" s="71" t="s">
        <v>55</v>
      </c>
      <c r="P66" s="71" t="s">
        <v>139</v>
      </c>
      <c r="Q66" s="70" t="s">
        <v>55</v>
      </c>
    </row>
    <row r="67" ht="28" customHeight="1" spans="1:17">
      <c r="A67" s="61"/>
      <c r="B67" s="62"/>
      <c r="C67" s="58" t="s">
        <v>191</v>
      </c>
      <c r="D67" s="74" t="s">
        <v>192</v>
      </c>
      <c r="E67" s="75"/>
      <c r="F67" s="76"/>
      <c r="G67" s="58">
        <v>2</v>
      </c>
      <c r="H67" s="58">
        <v>2</v>
      </c>
      <c r="I67" s="58"/>
      <c r="J67" s="58">
        <v>36</v>
      </c>
      <c r="K67" s="58">
        <v>36</v>
      </c>
      <c r="L67" s="58"/>
      <c r="M67" s="58">
        <v>2</v>
      </c>
      <c r="N67" s="58" t="s">
        <v>193</v>
      </c>
      <c r="O67" s="71" t="s">
        <v>55</v>
      </c>
      <c r="P67" s="71" t="s">
        <v>123</v>
      </c>
      <c r="Q67" s="70" t="s">
        <v>55</v>
      </c>
    </row>
    <row r="68" ht="28" customHeight="1" spans="1:17">
      <c r="A68" s="61"/>
      <c r="B68" s="62"/>
      <c r="C68" s="58" t="s">
        <v>194</v>
      </c>
      <c r="D68" s="74" t="s">
        <v>195</v>
      </c>
      <c r="E68" s="75"/>
      <c r="F68" s="76"/>
      <c r="G68" s="58">
        <v>2</v>
      </c>
      <c r="H68" s="58">
        <v>2</v>
      </c>
      <c r="I68" s="58"/>
      <c r="J68" s="58">
        <v>36</v>
      </c>
      <c r="K68" s="58">
        <v>36</v>
      </c>
      <c r="L68" s="58"/>
      <c r="M68" s="58">
        <v>3</v>
      </c>
      <c r="N68" s="58" t="s">
        <v>196</v>
      </c>
      <c r="O68" s="71" t="s">
        <v>55</v>
      </c>
      <c r="P68" s="71" t="s">
        <v>123</v>
      </c>
      <c r="Q68" s="70" t="s">
        <v>55</v>
      </c>
    </row>
    <row r="69" ht="28" customHeight="1" spans="1:17">
      <c r="A69" s="61"/>
      <c r="B69" s="62"/>
      <c r="C69" s="58" t="s">
        <v>197</v>
      </c>
      <c r="D69" s="74" t="s">
        <v>198</v>
      </c>
      <c r="E69" s="75"/>
      <c r="F69" s="76"/>
      <c r="G69" s="58">
        <v>2</v>
      </c>
      <c r="H69" s="58"/>
      <c r="I69" s="58">
        <v>2</v>
      </c>
      <c r="J69" s="58" t="s">
        <v>82</v>
      </c>
      <c r="K69" s="58"/>
      <c r="L69" s="58" t="s">
        <v>82</v>
      </c>
      <c r="M69" s="58">
        <v>3</v>
      </c>
      <c r="N69" s="58" t="s">
        <v>199</v>
      </c>
      <c r="O69" s="71" t="s">
        <v>55</v>
      </c>
      <c r="P69" s="71" t="s">
        <v>200</v>
      </c>
      <c r="Q69" s="70" t="s">
        <v>55</v>
      </c>
    </row>
    <row r="70" s="6" customFormat="1" ht="28" customHeight="1" spans="1:17">
      <c r="A70" s="61"/>
      <c r="B70" s="62"/>
      <c r="C70" s="58" t="s">
        <v>201</v>
      </c>
      <c r="D70" s="55" t="s">
        <v>202</v>
      </c>
      <c r="E70" s="56"/>
      <c r="F70" s="57"/>
      <c r="G70" s="60">
        <v>2</v>
      </c>
      <c r="H70" s="60">
        <v>2</v>
      </c>
      <c r="I70" s="58"/>
      <c r="J70" s="58">
        <v>36</v>
      </c>
      <c r="K70" s="58">
        <v>36</v>
      </c>
      <c r="L70" s="58"/>
      <c r="M70" s="58">
        <v>3</v>
      </c>
      <c r="N70" s="71" t="s">
        <v>203</v>
      </c>
      <c r="O70" s="71" t="s">
        <v>55</v>
      </c>
      <c r="P70" s="71" t="s">
        <v>123</v>
      </c>
      <c r="Q70" s="70" t="s">
        <v>55</v>
      </c>
    </row>
    <row r="71" ht="28" customHeight="1" spans="1:17">
      <c r="A71" s="61"/>
      <c r="B71" s="62"/>
      <c r="C71" s="58" t="s">
        <v>204</v>
      </c>
      <c r="D71" s="74" t="s">
        <v>205</v>
      </c>
      <c r="E71" s="75"/>
      <c r="F71" s="76"/>
      <c r="G71" s="58">
        <v>2</v>
      </c>
      <c r="H71" s="58">
        <v>2</v>
      </c>
      <c r="I71" s="58"/>
      <c r="J71" s="58">
        <v>36</v>
      </c>
      <c r="K71" s="58">
        <v>36</v>
      </c>
      <c r="L71" s="58"/>
      <c r="M71" s="58">
        <v>4</v>
      </c>
      <c r="N71" s="58" t="s">
        <v>196</v>
      </c>
      <c r="O71" s="71" t="s">
        <v>55</v>
      </c>
      <c r="P71" s="71" t="s">
        <v>123</v>
      </c>
      <c r="Q71" s="70" t="s">
        <v>55</v>
      </c>
    </row>
    <row r="72" ht="28" customHeight="1" spans="1:17">
      <c r="A72" s="61"/>
      <c r="B72" s="62"/>
      <c r="C72" s="58" t="s">
        <v>206</v>
      </c>
      <c r="D72" s="74" t="s">
        <v>207</v>
      </c>
      <c r="E72" s="75"/>
      <c r="F72" s="76"/>
      <c r="G72" s="58">
        <v>3</v>
      </c>
      <c r="H72" s="58">
        <v>3</v>
      </c>
      <c r="I72" s="58"/>
      <c r="J72" s="58">
        <v>54</v>
      </c>
      <c r="K72" s="58">
        <v>54</v>
      </c>
      <c r="L72" s="58"/>
      <c r="M72" s="58">
        <v>4</v>
      </c>
      <c r="N72" s="58" t="s">
        <v>208</v>
      </c>
      <c r="O72" s="71" t="s">
        <v>55</v>
      </c>
      <c r="P72" s="71" t="s">
        <v>123</v>
      </c>
      <c r="Q72" s="70" t="s">
        <v>55</v>
      </c>
    </row>
    <row r="73" ht="28" customHeight="1" spans="1:17">
      <c r="A73" s="61"/>
      <c r="B73" s="62"/>
      <c r="C73" s="58" t="s">
        <v>209</v>
      </c>
      <c r="D73" s="74" t="s">
        <v>210</v>
      </c>
      <c r="E73" s="75"/>
      <c r="F73" s="76"/>
      <c r="G73" s="58">
        <v>2</v>
      </c>
      <c r="H73" s="58">
        <v>2</v>
      </c>
      <c r="I73" s="58"/>
      <c r="J73" s="58">
        <v>36</v>
      </c>
      <c r="K73" s="58">
        <v>36</v>
      </c>
      <c r="L73" s="58"/>
      <c r="M73" s="58">
        <v>4</v>
      </c>
      <c r="N73" s="58" t="s">
        <v>211</v>
      </c>
      <c r="O73" s="71" t="s">
        <v>55</v>
      </c>
      <c r="P73" s="71" t="s">
        <v>123</v>
      </c>
      <c r="Q73" s="70" t="s">
        <v>55</v>
      </c>
    </row>
    <row r="74" ht="28" customHeight="1" spans="1:17">
      <c r="A74" s="61"/>
      <c r="B74" s="62"/>
      <c r="C74" s="58" t="s">
        <v>212</v>
      </c>
      <c r="D74" s="74" t="s">
        <v>213</v>
      </c>
      <c r="E74" s="75"/>
      <c r="F74" s="76"/>
      <c r="G74" s="58">
        <v>3</v>
      </c>
      <c r="H74" s="58">
        <v>3</v>
      </c>
      <c r="I74" s="58"/>
      <c r="J74" s="58">
        <v>54</v>
      </c>
      <c r="K74" s="58">
        <v>54</v>
      </c>
      <c r="L74" s="58"/>
      <c r="M74" s="58">
        <v>4</v>
      </c>
      <c r="N74" s="58" t="s">
        <v>145</v>
      </c>
      <c r="O74" s="71" t="s">
        <v>55</v>
      </c>
      <c r="P74" s="71" t="s">
        <v>139</v>
      </c>
      <c r="Q74" s="70" t="s">
        <v>55</v>
      </c>
    </row>
    <row r="75" s="6" customFormat="1" ht="28" customHeight="1" spans="1:17">
      <c r="A75" s="61"/>
      <c r="B75" s="62"/>
      <c r="C75" s="58" t="s">
        <v>214</v>
      </c>
      <c r="D75" s="77" t="s">
        <v>215</v>
      </c>
      <c r="E75" s="77"/>
      <c r="F75" s="77"/>
      <c r="G75" s="60">
        <v>2</v>
      </c>
      <c r="H75" s="60">
        <v>2</v>
      </c>
      <c r="I75" s="58"/>
      <c r="J75" s="58">
        <v>36</v>
      </c>
      <c r="K75" s="58">
        <v>36</v>
      </c>
      <c r="L75" s="58"/>
      <c r="M75" s="58">
        <v>4</v>
      </c>
      <c r="N75" s="58" t="s">
        <v>216</v>
      </c>
      <c r="O75" s="71" t="s">
        <v>55</v>
      </c>
      <c r="P75" s="71" t="s">
        <v>123</v>
      </c>
      <c r="Q75" s="70" t="s">
        <v>55</v>
      </c>
    </row>
    <row r="76" ht="28" customHeight="1" spans="1:17">
      <c r="A76" s="61"/>
      <c r="B76" s="62"/>
      <c r="C76" s="58" t="s">
        <v>217</v>
      </c>
      <c r="D76" s="74" t="s">
        <v>218</v>
      </c>
      <c r="E76" s="75"/>
      <c r="F76" s="76"/>
      <c r="G76" s="58">
        <v>2</v>
      </c>
      <c r="H76" s="58">
        <v>2</v>
      </c>
      <c r="I76" s="58"/>
      <c r="J76" s="58">
        <v>36</v>
      </c>
      <c r="K76" s="58">
        <v>36</v>
      </c>
      <c r="L76" s="58"/>
      <c r="M76" s="58">
        <v>5</v>
      </c>
      <c r="N76" s="58" t="s">
        <v>145</v>
      </c>
      <c r="O76" s="71" t="s">
        <v>55</v>
      </c>
      <c r="P76" s="71" t="s">
        <v>123</v>
      </c>
      <c r="Q76" s="70" t="s">
        <v>55</v>
      </c>
    </row>
    <row r="77" ht="28" customHeight="1" spans="1:17">
      <c r="A77" s="61"/>
      <c r="B77" s="62"/>
      <c r="C77" s="58" t="s">
        <v>219</v>
      </c>
      <c r="D77" s="74" t="s">
        <v>220</v>
      </c>
      <c r="E77" s="75"/>
      <c r="F77" s="76"/>
      <c r="G77" s="58">
        <v>2</v>
      </c>
      <c r="H77" s="58">
        <v>2</v>
      </c>
      <c r="I77" s="58"/>
      <c r="J77" s="58">
        <v>36</v>
      </c>
      <c r="K77" s="58">
        <v>36</v>
      </c>
      <c r="L77" s="58"/>
      <c r="M77" s="58">
        <v>5</v>
      </c>
      <c r="N77" s="58" t="s">
        <v>221</v>
      </c>
      <c r="O77" s="71" t="s">
        <v>55</v>
      </c>
      <c r="P77" s="71" t="s">
        <v>123</v>
      </c>
      <c r="Q77" s="70" t="s">
        <v>55</v>
      </c>
    </row>
    <row r="78" ht="28" customHeight="1" spans="1:17">
      <c r="A78" s="61"/>
      <c r="B78" s="62"/>
      <c r="C78" s="58" t="s">
        <v>222</v>
      </c>
      <c r="D78" s="74" t="s">
        <v>223</v>
      </c>
      <c r="E78" s="75"/>
      <c r="F78" s="76"/>
      <c r="G78" s="58">
        <v>2</v>
      </c>
      <c r="H78" s="58">
        <v>2</v>
      </c>
      <c r="I78" s="58"/>
      <c r="J78" s="58">
        <v>36</v>
      </c>
      <c r="K78" s="58">
        <v>36</v>
      </c>
      <c r="L78" s="58"/>
      <c r="M78" s="58">
        <v>5</v>
      </c>
      <c r="N78" s="58" t="s">
        <v>196</v>
      </c>
      <c r="O78" s="71" t="s">
        <v>55</v>
      </c>
      <c r="P78" s="71" t="s">
        <v>123</v>
      </c>
      <c r="Q78" s="70" t="s">
        <v>55</v>
      </c>
    </row>
    <row r="79" ht="28" customHeight="1" spans="1:17">
      <c r="A79" s="61"/>
      <c r="B79" s="62"/>
      <c r="C79" s="58" t="s">
        <v>224</v>
      </c>
      <c r="D79" s="74" t="s">
        <v>225</v>
      </c>
      <c r="E79" s="75"/>
      <c r="F79" s="76"/>
      <c r="G79" s="58">
        <v>2</v>
      </c>
      <c r="H79" s="58"/>
      <c r="I79" s="58">
        <v>2</v>
      </c>
      <c r="J79" s="58" t="s">
        <v>82</v>
      </c>
      <c r="K79" s="58"/>
      <c r="L79" s="58" t="s">
        <v>82</v>
      </c>
      <c r="M79" s="58">
        <v>5</v>
      </c>
      <c r="N79" s="58" t="s">
        <v>226</v>
      </c>
      <c r="O79" s="71" t="s">
        <v>55</v>
      </c>
      <c r="P79" s="71" t="s">
        <v>200</v>
      </c>
      <c r="Q79" s="70" t="s">
        <v>55</v>
      </c>
    </row>
    <row r="80" ht="28" customHeight="1" spans="1:17">
      <c r="A80" s="61"/>
      <c r="B80" s="62"/>
      <c r="C80" s="58" t="s">
        <v>227</v>
      </c>
      <c r="D80" s="58" t="s">
        <v>228</v>
      </c>
      <c r="E80" s="58"/>
      <c r="F80" s="58"/>
      <c r="G80" s="58">
        <v>2</v>
      </c>
      <c r="H80" s="58">
        <v>2</v>
      </c>
      <c r="I80" s="58"/>
      <c r="J80" s="58">
        <v>36</v>
      </c>
      <c r="K80" s="58">
        <v>36</v>
      </c>
      <c r="L80" s="58"/>
      <c r="M80" s="58">
        <v>5</v>
      </c>
      <c r="N80" s="58" t="s">
        <v>229</v>
      </c>
      <c r="O80" s="71" t="s">
        <v>55</v>
      </c>
      <c r="P80" s="71" t="s">
        <v>123</v>
      </c>
      <c r="Q80" s="70" t="s">
        <v>55</v>
      </c>
    </row>
    <row r="81" s="6" customFormat="1" ht="28" customHeight="1" spans="1:17">
      <c r="A81" s="61"/>
      <c r="B81" s="62"/>
      <c r="C81" s="58" t="s">
        <v>230</v>
      </c>
      <c r="D81" s="55" t="s">
        <v>231</v>
      </c>
      <c r="E81" s="56"/>
      <c r="F81" s="57"/>
      <c r="G81" s="60">
        <v>2</v>
      </c>
      <c r="H81" s="60">
        <v>2</v>
      </c>
      <c r="I81" s="58"/>
      <c r="J81" s="58">
        <v>36</v>
      </c>
      <c r="K81" s="58">
        <v>36</v>
      </c>
      <c r="L81" s="58"/>
      <c r="M81" s="58">
        <v>5</v>
      </c>
      <c r="N81" s="71" t="s">
        <v>232</v>
      </c>
      <c r="O81" s="71" t="s">
        <v>55</v>
      </c>
      <c r="P81" s="71" t="s">
        <v>123</v>
      </c>
      <c r="Q81" s="70" t="s">
        <v>55</v>
      </c>
    </row>
    <row r="82" s="6" customFormat="1" ht="28" customHeight="1" spans="1:17">
      <c r="A82" s="61"/>
      <c r="B82" s="62"/>
      <c r="C82" s="78" t="s">
        <v>233</v>
      </c>
      <c r="D82" s="79" t="s">
        <v>234</v>
      </c>
      <c r="E82" s="80"/>
      <c r="F82" s="81"/>
      <c r="G82" s="60">
        <v>2</v>
      </c>
      <c r="H82" s="60">
        <v>2</v>
      </c>
      <c r="I82" s="78"/>
      <c r="J82" s="78">
        <v>36</v>
      </c>
      <c r="K82" s="78">
        <v>36</v>
      </c>
      <c r="L82" s="78"/>
      <c r="M82" s="78">
        <v>5</v>
      </c>
      <c r="N82" s="86" t="s">
        <v>235</v>
      </c>
      <c r="O82" s="71" t="s">
        <v>55</v>
      </c>
      <c r="P82" s="71" t="s">
        <v>123</v>
      </c>
      <c r="Q82" s="70" t="s">
        <v>55</v>
      </c>
    </row>
    <row r="83" s="6" customFormat="1" ht="28" customHeight="1" spans="1:17">
      <c r="A83" s="61"/>
      <c r="B83" s="62"/>
      <c r="C83" s="58" t="s">
        <v>236</v>
      </c>
      <c r="D83" s="55" t="s">
        <v>237</v>
      </c>
      <c r="E83" s="56"/>
      <c r="F83" s="57"/>
      <c r="G83" s="60">
        <v>2</v>
      </c>
      <c r="H83" s="60">
        <v>2</v>
      </c>
      <c r="I83" s="58"/>
      <c r="J83" s="58">
        <v>36</v>
      </c>
      <c r="K83" s="58">
        <v>36</v>
      </c>
      <c r="L83" s="58"/>
      <c r="M83" s="58">
        <v>5</v>
      </c>
      <c r="N83" s="71" t="s">
        <v>238</v>
      </c>
      <c r="O83" s="71" t="s">
        <v>55</v>
      </c>
      <c r="P83" s="71" t="s">
        <v>123</v>
      </c>
      <c r="Q83" s="70" t="s">
        <v>55</v>
      </c>
    </row>
    <row r="84" ht="28" customHeight="1" spans="1:17">
      <c r="A84" s="61"/>
      <c r="B84" s="62"/>
      <c r="C84" s="58" t="s">
        <v>239</v>
      </c>
      <c r="D84" s="55" t="s">
        <v>240</v>
      </c>
      <c r="E84" s="56"/>
      <c r="F84" s="57"/>
      <c r="G84" s="60">
        <v>2</v>
      </c>
      <c r="H84" s="60">
        <v>2</v>
      </c>
      <c r="I84" s="58"/>
      <c r="J84" s="58">
        <v>36</v>
      </c>
      <c r="K84" s="58">
        <v>36</v>
      </c>
      <c r="L84" s="58"/>
      <c r="M84" s="58">
        <v>6</v>
      </c>
      <c r="N84" s="58" t="s">
        <v>241</v>
      </c>
      <c r="O84" s="71" t="s">
        <v>55</v>
      </c>
      <c r="P84" s="58" t="s">
        <v>186</v>
      </c>
      <c r="Q84" s="70" t="s">
        <v>55</v>
      </c>
    </row>
    <row r="85" ht="28" customHeight="1" spans="1:17">
      <c r="A85" s="61"/>
      <c r="B85" s="62"/>
      <c r="C85" s="58" t="s">
        <v>242</v>
      </c>
      <c r="D85" s="74" t="s">
        <v>243</v>
      </c>
      <c r="E85" s="75"/>
      <c r="F85" s="76" t="s">
        <v>244</v>
      </c>
      <c r="G85" s="58">
        <v>2</v>
      </c>
      <c r="H85" s="58">
        <v>2</v>
      </c>
      <c r="I85" s="58"/>
      <c r="J85" s="58">
        <v>36</v>
      </c>
      <c r="K85" s="58">
        <v>36</v>
      </c>
      <c r="L85" s="58"/>
      <c r="M85" s="58">
        <v>6</v>
      </c>
      <c r="N85" s="58" t="s">
        <v>245</v>
      </c>
      <c r="O85" s="71" t="s">
        <v>55</v>
      </c>
      <c r="P85" s="71" t="s">
        <v>123</v>
      </c>
      <c r="Q85" s="70" t="s">
        <v>55</v>
      </c>
    </row>
    <row r="86" ht="28" customHeight="1" spans="1:17">
      <c r="A86" s="61"/>
      <c r="B86" s="62"/>
      <c r="C86" s="58" t="s">
        <v>246</v>
      </c>
      <c r="D86" s="74" t="s">
        <v>247</v>
      </c>
      <c r="E86" s="75"/>
      <c r="F86" s="76" t="s">
        <v>248</v>
      </c>
      <c r="G86" s="58">
        <v>2</v>
      </c>
      <c r="H86" s="58">
        <v>2</v>
      </c>
      <c r="I86" s="58"/>
      <c r="J86" s="58">
        <v>36</v>
      </c>
      <c r="K86" s="58">
        <v>36</v>
      </c>
      <c r="L86" s="58"/>
      <c r="M86" s="58">
        <v>6</v>
      </c>
      <c r="N86" s="58" t="s">
        <v>249</v>
      </c>
      <c r="O86" s="71" t="s">
        <v>55</v>
      </c>
      <c r="P86" s="71" t="s">
        <v>123</v>
      </c>
      <c r="Q86" s="70" t="s">
        <v>55</v>
      </c>
    </row>
    <row r="87" ht="28" customHeight="1" spans="1:17">
      <c r="A87" s="61"/>
      <c r="B87" s="62"/>
      <c r="C87" s="58" t="s">
        <v>250</v>
      </c>
      <c r="D87" s="74" t="s">
        <v>251</v>
      </c>
      <c r="E87" s="75"/>
      <c r="F87" s="76" t="s">
        <v>252</v>
      </c>
      <c r="G87" s="58">
        <v>2</v>
      </c>
      <c r="H87" s="58">
        <v>2</v>
      </c>
      <c r="I87" s="58"/>
      <c r="J87" s="58">
        <v>36</v>
      </c>
      <c r="K87" s="58">
        <v>36</v>
      </c>
      <c r="L87" s="58"/>
      <c r="M87" s="58">
        <v>6</v>
      </c>
      <c r="N87" s="58" t="s">
        <v>97</v>
      </c>
      <c r="O87" s="71" t="s">
        <v>55</v>
      </c>
      <c r="P87" s="71" t="s">
        <v>123</v>
      </c>
      <c r="Q87" s="70" t="s">
        <v>55</v>
      </c>
    </row>
    <row r="88" ht="28" customHeight="1" spans="1:17">
      <c r="A88" s="61"/>
      <c r="B88" s="62"/>
      <c r="C88" s="58" t="s">
        <v>253</v>
      </c>
      <c r="D88" s="74" t="s">
        <v>254</v>
      </c>
      <c r="E88" s="75"/>
      <c r="F88" s="76"/>
      <c r="G88" s="58">
        <v>2</v>
      </c>
      <c r="H88" s="58">
        <v>2</v>
      </c>
      <c r="I88" s="58"/>
      <c r="J88" s="58">
        <v>36</v>
      </c>
      <c r="K88" s="58">
        <v>36</v>
      </c>
      <c r="L88" s="58"/>
      <c r="M88" s="58">
        <v>7</v>
      </c>
      <c r="N88" s="58" t="s">
        <v>229</v>
      </c>
      <c r="O88" s="71" t="s">
        <v>107</v>
      </c>
      <c r="P88" s="71" t="s">
        <v>255</v>
      </c>
      <c r="Q88" s="70" t="s">
        <v>55</v>
      </c>
    </row>
    <row r="89" ht="28" customHeight="1" spans="1:17">
      <c r="A89" s="61"/>
      <c r="B89" s="62"/>
      <c r="C89" s="58" t="s">
        <v>256</v>
      </c>
      <c r="D89" s="74" t="s">
        <v>257</v>
      </c>
      <c r="E89" s="75"/>
      <c r="F89" s="76"/>
      <c r="G89" s="58">
        <v>2</v>
      </c>
      <c r="H89" s="58"/>
      <c r="I89" s="58">
        <v>2</v>
      </c>
      <c r="J89" s="58" t="s">
        <v>82</v>
      </c>
      <c r="K89" s="58"/>
      <c r="L89" s="58" t="s">
        <v>82</v>
      </c>
      <c r="M89" s="58">
        <v>7</v>
      </c>
      <c r="N89" s="58" t="s">
        <v>199</v>
      </c>
      <c r="O89" s="71" t="s">
        <v>55</v>
      </c>
      <c r="P89" s="71" t="s">
        <v>200</v>
      </c>
      <c r="Q89" s="70" t="s">
        <v>55</v>
      </c>
    </row>
    <row r="90" ht="28" customHeight="1" spans="1:17">
      <c r="A90" s="61"/>
      <c r="B90" s="62" t="s">
        <v>258</v>
      </c>
      <c r="C90" s="58" t="s">
        <v>259</v>
      </c>
      <c r="D90" s="74" t="s">
        <v>260</v>
      </c>
      <c r="E90" s="75"/>
      <c r="F90" s="76"/>
      <c r="G90" s="58">
        <v>2</v>
      </c>
      <c r="H90" s="58">
        <v>1</v>
      </c>
      <c r="I90" s="58">
        <v>1</v>
      </c>
      <c r="J90" s="58">
        <v>54</v>
      </c>
      <c r="K90" s="58">
        <v>18</v>
      </c>
      <c r="L90" s="58">
        <v>36</v>
      </c>
      <c r="M90" s="58">
        <v>2</v>
      </c>
      <c r="N90" s="58" t="s">
        <v>261</v>
      </c>
      <c r="O90" s="71" t="s">
        <v>55</v>
      </c>
      <c r="P90" s="71" t="s">
        <v>123</v>
      </c>
      <c r="Q90" s="70" t="s">
        <v>55</v>
      </c>
    </row>
    <row r="91" ht="28" customHeight="1" spans="1:17">
      <c r="A91" s="61"/>
      <c r="B91" s="62"/>
      <c r="C91" s="58" t="s">
        <v>262</v>
      </c>
      <c r="D91" s="74" t="s">
        <v>263</v>
      </c>
      <c r="E91" s="75"/>
      <c r="F91" s="76"/>
      <c r="G91" s="58">
        <v>3</v>
      </c>
      <c r="H91" s="58">
        <v>2</v>
      </c>
      <c r="I91" s="58">
        <v>1</v>
      </c>
      <c r="J91" s="58">
        <v>72</v>
      </c>
      <c r="K91" s="58">
        <v>36</v>
      </c>
      <c r="L91" s="58">
        <v>36</v>
      </c>
      <c r="M91" s="58">
        <v>3</v>
      </c>
      <c r="N91" s="58" t="s">
        <v>264</v>
      </c>
      <c r="O91" s="71" t="s">
        <v>55</v>
      </c>
      <c r="P91" s="71" t="s">
        <v>123</v>
      </c>
      <c r="Q91" s="70" t="s">
        <v>55</v>
      </c>
    </row>
    <row r="92" ht="28" customHeight="1" spans="1:17">
      <c r="A92" s="61"/>
      <c r="B92" s="62"/>
      <c r="C92" s="58" t="s">
        <v>265</v>
      </c>
      <c r="D92" s="74" t="s">
        <v>266</v>
      </c>
      <c r="E92" s="75"/>
      <c r="F92" s="76"/>
      <c r="G92" s="58">
        <v>2</v>
      </c>
      <c r="H92" s="58">
        <v>2</v>
      </c>
      <c r="I92" s="58"/>
      <c r="J92" s="58">
        <v>36</v>
      </c>
      <c r="K92" s="58">
        <v>36</v>
      </c>
      <c r="L92" s="58"/>
      <c r="M92" s="58">
        <v>3</v>
      </c>
      <c r="N92" s="58" t="s">
        <v>267</v>
      </c>
      <c r="O92" s="71" t="s">
        <v>55</v>
      </c>
      <c r="P92" s="71" t="s">
        <v>123</v>
      </c>
      <c r="Q92" s="70" t="s">
        <v>55</v>
      </c>
    </row>
    <row r="93" ht="28" customHeight="1" spans="1:17">
      <c r="A93" s="61"/>
      <c r="B93" s="62"/>
      <c r="C93" s="58" t="s">
        <v>268</v>
      </c>
      <c r="D93" s="74" t="s">
        <v>269</v>
      </c>
      <c r="E93" s="75"/>
      <c r="F93" s="76"/>
      <c r="G93" s="58">
        <v>3</v>
      </c>
      <c r="H93" s="58">
        <v>3</v>
      </c>
      <c r="I93" s="58"/>
      <c r="J93" s="58">
        <v>54</v>
      </c>
      <c r="K93" s="58">
        <v>54</v>
      </c>
      <c r="L93" s="58"/>
      <c r="M93" s="58">
        <v>3</v>
      </c>
      <c r="N93" s="58" t="s">
        <v>270</v>
      </c>
      <c r="O93" s="71" t="s">
        <v>55</v>
      </c>
      <c r="P93" s="71" t="s">
        <v>123</v>
      </c>
      <c r="Q93" s="70" t="s">
        <v>55</v>
      </c>
    </row>
    <row r="94" ht="28" customHeight="1" spans="1:17">
      <c r="A94" s="61"/>
      <c r="B94" s="62"/>
      <c r="C94" s="58" t="s">
        <v>271</v>
      </c>
      <c r="D94" s="74" t="s">
        <v>272</v>
      </c>
      <c r="E94" s="75"/>
      <c r="F94" s="76"/>
      <c r="G94" s="58">
        <v>2</v>
      </c>
      <c r="H94" s="58">
        <v>2</v>
      </c>
      <c r="I94" s="58"/>
      <c r="J94" s="58">
        <v>36</v>
      </c>
      <c r="K94" s="58">
        <v>36</v>
      </c>
      <c r="L94" s="58"/>
      <c r="M94" s="58">
        <v>4</v>
      </c>
      <c r="N94" s="58" t="s">
        <v>232</v>
      </c>
      <c r="O94" s="71" t="s">
        <v>55</v>
      </c>
      <c r="P94" s="71" t="s">
        <v>123</v>
      </c>
      <c r="Q94" s="70" t="s">
        <v>55</v>
      </c>
    </row>
    <row r="95" ht="28" customHeight="1" spans="1:17">
      <c r="A95" s="61"/>
      <c r="B95" s="62"/>
      <c r="C95" s="58" t="s">
        <v>273</v>
      </c>
      <c r="D95" s="55" t="s">
        <v>274</v>
      </c>
      <c r="E95" s="56"/>
      <c r="F95" s="57"/>
      <c r="G95" s="58">
        <v>2</v>
      </c>
      <c r="H95" s="58">
        <v>2</v>
      </c>
      <c r="I95" s="58"/>
      <c r="J95" s="58">
        <v>36</v>
      </c>
      <c r="K95" s="58">
        <v>36</v>
      </c>
      <c r="L95" s="58"/>
      <c r="M95" s="58">
        <v>4</v>
      </c>
      <c r="N95" s="71" t="s">
        <v>275</v>
      </c>
      <c r="O95" s="71" t="s">
        <v>55</v>
      </c>
      <c r="P95" s="71" t="s">
        <v>123</v>
      </c>
      <c r="Q95" s="70" t="s">
        <v>55</v>
      </c>
    </row>
    <row r="96" ht="28" customHeight="1" spans="1:17">
      <c r="A96" s="61"/>
      <c r="B96" s="62"/>
      <c r="C96" s="58" t="s">
        <v>276</v>
      </c>
      <c r="D96" s="74" t="s">
        <v>277</v>
      </c>
      <c r="E96" s="75"/>
      <c r="F96" s="76"/>
      <c r="G96" s="58">
        <v>2</v>
      </c>
      <c r="H96" s="58">
        <v>2</v>
      </c>
      <c r="I96" s="58"/>
      <c r="J96" s="58">
        <v>36</v>
      </c>
      <c r="K96" s="58">
        <v>36</v>
      </c>
      <c r="L96" s="58"/>
      <c r="M96" s="58">
        <v>5</v>
      </c>
      <c r="N96" s="58" t="s">
        <v>232</v>
      </c>
      <c r="O96" s="71" t="s">
        <v>55</v>
      </c>
      <c r="P96" s="71" t="s">
        <v>123</v>
      </c>
      <c r="Q96" s="70" t="s">
        <v>55</v>
      </c>
    </row>
    <row r="97" ht="28" customHeight="1" spans="1:17">
      <c r="A97" s="61"/>
      <c r="B97" s="62"/>
      <c r="C97" s="58" t="s">
        <v>278</v>
      </c>
      <c r="D97" s="74" t="s">
        <v>279</v>
      </c>
      <c r="E97" s="75"/>
      <c r="F97" s="76"/>
      <c r="G97" s="58">
        <v>2</v>
      </c>
      <c r="H97" s="58">
        <v>2</v>
      </c>
      <c r="I97" s="58"/>
      <c r="J97" s="58">
        <v>36</v>
      </c>
      <c r="K97" s="58">
        <v>36</v>
      </c>
      <c r="L97" s="58"/>
      <c r="M97" s="58">
        <v>5</v>
      </c>
      <c r="N97" s="58" t="s">
        <v>280</v>
      </c>
      <c r="O97" s="71" t="s">
        <v>55</v>
      </c>
      <c r="P97" s="71" t="s">
        <v>123</v>
      </c>
      <c r="Q97" s="70" t="s">
        <v>55</v>
      </c>
    </row>
    <row r="98" ht="28" customHeight="1" spans="1:17">
      <c r="A98" s="61"/>
      <c r="B98" s="62"/>
      <c r="C98" s="58" t="s">
        <v>281</v>
      </c>
      <c r="D98" s="74" t="s">
        <v>282</v>
      </c>
      <c r="E98" s="75"/>
      <c r="F98" s="76" t="s">
        <v>283</v>
      </c>
      <c r="G98" s="58">
        <v>3</v>
      </c>
      <c r="H98" s="58">
        <v>2</v>
      </c>
      <c r="I98" s="58">
        <v>1</v>
      </c>
      <c r="J98" s="58">
        <v>72</v>
      </c>
      <c r="K98" s="58">
        <v>36</v>
      </c>
      <c r="L98" s="58">
        <v>36</v>
      </c>
      <c r="M98" s="58">
        <v>6</v>
      </c>
      <c r="N98" s="58" t="s">
        <v>284</v>
      </c>
      <c r="O98" s="71" t="s">
        <v>55</v>
      </c>
      <c r="P98" s="71" t="s">
        <v>123</v>
      </c>
      <c r="Q98" s="70" t="s">
        <v>55</v>
      </c>
    </row>
    <row r="99" ht="28" customHeight="1" spans="1:17">
      <c r="A99" s="61"/>
      <c r="B99" s="62"/>
      <c r="C99" s="58" t="s">
        <v>285</v>
      </c>
      <c r="D99" s="74" t="s">
        <v>286</v>
      </c>
      <c r="E99" s="75"/>
      <c r="F99" s="76" t="s">
        <v>287</v>
      </c>
      <c r="G99" s="58">
        <v>2</v>
      </c>
      <c r="H99" s="58">
        <v>2</v>
      </c>
      <c r="I99" s="58"/>
      <c r="J99" s="58">
        <v>36</v>
      </c>
      <c r="K99" s="58">
        <v>36</v>
      </c>
      <c r="L99" s="58"/>
      <c r="M99" s="58">
        <v>6</v>
      </c>
      <c r="N99" s="58" t="s">
        <v>288</v>
      </c>
      <c r="O99" s="71" t="s">
        <v>55</v>
      </c>
      <c r="P99" s="71" t="s">
        <v>123</v>
      </c>
      <c r="Q99" s="70" t="s">
        <v>55</v>
      </c>
    </row>
    <row r="100" ht="28" customHeight="1" spans="1:17">
      <c r="A100" s="61"/>
      <c r="B100" s="62"/>
      <c r="C100" s="58" t="s">
        <v>289</v>
      </c>
      <c r="D100" s="74" t="s">
        <v>290</v>
      </c>
      <c r="E100" s="75"/>
      <c r="F100" s="76" t="s">
        <v>291</v>
      </c>
      <c r="G100" s="58">
        <v>2</v>
      </c>
      <c r="H100" s="58">
        <v>2</v>
      </c>
      <c r="I100" s="58"/>
      <c r="J100" s="58">
        <v>36</v>
      </c>
      <c r="K100" s="58">
        <v>36</v>
      </c>
      <c r="L100" s="58"/>
      <c r="M100" s="58">
        <v>6</v>
      </c>
      <c r="N100" s="58" t="s">
        <v>152</v>
      </c>
      <c r="O100" s="71" t="s">
        <v>55</v>
      </c>
      <c r="P100" s="71" t="s">
        <v>123</v>
      </c>
      <c r="Q100" s="70" t="s">
        <v>55</v>
      </c>
    </row>
    <row r="101" ht="28" customHeight="1" spans="1:17">
      <c r="A101" s="61"/>
      <c r="B101" s="62"/>
      <c r="C101" s="78" t="s">
        <v>292</v>
      </c>
      <c r="D101" s="79" t="s">
        <v>293</v>
      </c>
      <c r="E101" s="80"/>
      <c r="F101" s="81"/>
      <c r="G101" s="78">
        <v>2</v>
      </c>
      <c r="H101" s="78">
        <v>2</v>
      </c>
      <c r="I101" s="78"/>
      <c r="J101" s="78">
        <v>36</v>
      </c>
      <c r="K101" s="78">
        <v>36</v>
      </c>
      <c r="L101" s="78"/>
      <c r="M101" s="78">
        <v>6</v>
      </c>
      <c r="N101" s="86" t="s">
        <v>294</v>
      </c>
      <c r="O101" s="71" t="s">
        <v>55</v>
      </c>
      <c r="P101" s="71" t="s">
        <v>123</v>
      </c>
      <c r="Q101" s="70" t="s">
        <v>55</v>
      </c>
    </row>
    <row r="102" ht="28" customHeight="1" spans="1:17">
      <c r="A102" s="61"/>
      <c r="B102" s="62"/>
      <c r="C102" s="78" t="s">
        <v>295</v>
      </c>
      <c r="D102" s="79" t="s">
        <v>296</v>
      </c>
      <c r="E102" s="80"/>
      <c r="F102" s="81"/>
      <c r="G102" s="60">
        <v>2</v>
      </c>
      <c r="H102" s="60">
        <v>2</v>
      </c>
      <c r="I102" s="78"/>
      <c r="J102" s="78">
        <v>36</v>
      </c>
      <c r="K102" s="78">
        <v>36</v>
      </c>
      <c r="L102" s="78"/>
      <c r="M102" s="78">
        <v>6</v>
      </c>
      <c r="N102" s="86" t="s">
        <v>122</v>
      </c>
      <c r="O102" s="71" t="s">
        <v>55</v>
      </c>
      <c r="P102" s="71" t="s">
        <v>123</v>
      </c>
      <c r="Q102" s="70" t="s">
        <v>55</v>
      </c>
    </row>
    <row r="103" ht="28" customHeight="1" spans="1:17">
      <c r="A103" s="61"/>
      <c r="B103" s="62"/>
      <c r="C103" s="78" t="s">
        <v>297</v>
      </c>
      <c r="D103" s="79" t="s">
        <v>298</v>
      </c>
      <c r="E103" s="80"/>
      <c r="F103" s="81"/>
      <c r="G103" s="60">
        <v>2</v>
      </c>
      <c r="H103" s="60">
        <v>2</v>
      </c>
      <c r="I103" s="78"/>
      <c r="J103" s="78">
        <v>36</v>
      </c>
      <c r="K103" s="78">
        <v>36</v>
      </c>
      <c r="L103" s="78"/>
      <c r="M103" s="78">
        <v>6</v>
      </c>
      <c r="N103" s="86" t="s">
        <v>299</v>
      </c>
      <c r="O103" s="71" t="s">
        <v>55</v>
      </c>
      <c r="P103" s="71" t="s">
        <v>123</v>
      </c>
      <c r="Q103" s="70" t="s">
        <v>55</v>
      </c>
    </row>
    <row r="104" ht="28" customHeight="1" spans="1:17">
      <c r="A104" s="61"/>
      <c r="B104" s="62"/>
      <c r="C104" s="58" t="s">
        <v>300</v>
      </c>
      <c r="D104" s="74" t="s">
        <v>301</v>
      </c>
      <c r="E104" s="75"/>
      <c r="F104" s="76"/>
      <c r="G104" s="58">
        <v>3</v>
      </c>
      <c r="H104" s="58">
        <v>3</v>
      </c>
      <c r="I104" s="58"/>
      <c r="J104" s="58">
        <v>54</v>
      </c>
      <c r="K104" s="58">
        <v>54</v>
      </c>
      <c r="L104" s="58"/>
      <c r="M104" s="58">
        <v>7</v>
      </c>
      <c r="N104" s="58" t="s">
        <v>302</v>
      </c>
      <c r="O104" s="71" t="s">
        <v>55</v>
      </c>
      <c r="P104" s="71" t="s">
        <v>123</v>
      </c>
      <c r="Q104" s="70" t="s">
        <v>55</v>
      </c>
    </row>
    <row r="105" ht="28" customHeight="1" spans="1:17">
      <c r="A105" s="61"/>
      <c r="B105" s="82" t="s">
        <v>303</v>
      </c>
      <c r="C105" s="58" t="s">
        <v>304</v>
      </c>
      <c r="D105" s="74" t="s">
        <v>305</v>
      </c>
      <c r="E105" s="75" t="s">
        <v>305</v>
      </c>
      <c r="F105" s="76" t="s">
        <v>305</v>
      </c>
      <c r="G105" s="58">
        <v>2</v>
      </c>
      <c r="H105" s="58">
        <v>2</v>
      </c>
      <c r="I105" s="58"/>
      <c r="J105" s="58">
        <v>36</v>
      </c>
      <c r="K105" s="58">
        <v>36</v>
      </c>
      <c r="L105" s="58"/>
      <c r="M105" s="58">
        <v>6</v>
      </c>
      <c r="N105" s="58" t="s">
        <v>306</v>
      </c>
      <c r="O105" s="71" t="s">
        <v>107</v>
      </c>
      <c r="P105" s="71" t="s">
        <v>307</v>
      </c>
      <c r="Q105" s="70" t="s">
        <v>55</v>
      </c>
    </row>
    <row r="106" ht="28" customHeight="1" spans="1:17">
      <c r="A106" s="61"/>
      <c r="B106" s="83"/>
      <c r="C106" s="58" t="s">
        <v>308</v>
      </c>
      <c r="D106" s="74" t="s">
        <v>309</v>
      </c>
      <c r="E106" s="75" t="s">
        <v>309</v>
      </c>
      <c r="F106" s="76" t="s">
        <v>309</v>
      </c>
      <c r="G106" s="58">
        <v>2</v>
      </c>
      <c r="H106" s="58">
        <v>2</v>
      </c>
      <c r="I106" s="58"/>
      <c r="J106" s="58">
        <v>36</v>
      </c>
      <c r="K106" s="58">
        <v>36</v>
      </c>
      <c r="L106" s="58"/>
      <c r="M106" s="58">
        <v>6</v>
      </c>
      <c r="N106" s="58" t="s">
        <v>310</v>
      </c>
      <c r="O106" s="71" t="s">
        <v>107</v>
      </c>
      <c r="P106" s="71" t="s">
        <v>123</v>
      </c>
      <c r="Q106" s="70" t="s">
        <v>55</v>
      </c>
    </row>
    <row r="107" ht="28" customHeight="1" spans="1:17">
      <c r="A107" s="61"/>
      <c r="B107" s="83"/>
      <c r="C107" s="58" t="s">
        <v>311</v>
      </c>
      <c r="D107" s="74" t="s">
        <v>312</v>
      </c>
      <c r="E107" s="75" t="s">
        <v>312</v>
      </c>
      <c r="F107" s="76" t="s">
        <v>312</v>
      </c>
      <c r="G107" s="58">
        <v>2</v>
      </c>
      <c r="H107" s="58">
        <v>2</v>
      </c>
      <c r="I107" s="58"/>
      <c r="J107" s="58">
        <v>36</v>
      </c>
      <c r="K107" s="58">
        <v>36</v>
      </c>
      <c r="L107" s="58"/>
      <c r="M107" s="58">
        <v>6</v>
      </c>
      <c r="N107" s="58" t="s">
        <v>152</v>
      </c>
      <c r="O107" s="71" t="s">
        <v>107</v>
      </c>
      <c r="P107" s="71" t="s">
        <v>123</v>
      </c>
      <c r="Q107" s="70" t="s">
        <v>55</v>
      </c>
    </row>
    <row r="108" ht="28" customHeight="1" spans="1:17">
      <c r="A108" s="61"/>
      <c r="B108" s="83"/>
      <c r="C108" s="58" t="s">
        <v>313</v>
      </c>
      <c r="D108" s="74" t="s">
        <v>314</v>
      </c>
      <c r="E108" s="75" t="s">
        <v>314</v>
      </c>
      <c r="F108" s="76" t="s">
        <v>314</v>
      </c>
      <c r="G108" s="58">
        <v>2</v>
      </c>
      <c r="H108" s="58">
        <v>2</v>
      </c>
      <c r="I108" s="58"/>
      <c r="J108" s="58">
        <v>36</v>
      </c>
      <c r="K108" s="58">
        <v>36</v>
      </c>
      <c r="L108" s="58"/>
      <c r="M108" s="58">
        <v>6</v>
      </c>
      <c r="N108" s="58" t="s">
        <v>315</v>
      </c>
      <c r="O108" s="71" t="s">
        <v>107</v>
      </c>
      <c r="P108" s="71" t="s">
        <v>123</v>
      </c>
      <c r="Q108" s="70" t="s">
        <v>55</v>
      </c>
    </row>
    <row r="109" ht="28" customHeight="1" spans="1:17">
      <c r="A109" s="61"/>
      <c r="B109" s="83"/>
      <c r="C109" s="58" t="s">
        <v>316</v>
      </c>
      <c r="D109" s="74" t="s">
        <v>317</v>
      </c>
      <c r="E109" s="75" t="s">
        <v>317</v>
      </c>
      <c r="F109" s="76" t="s">
        <v>317</v>
      </c>
      <c r="G109" s="58">
        <v>2</v>
      </c>
      <c r="H109" s="58">
        <v>2</v>
      </c>
      <c r="I109" s="58"/>
      <c r="J109" s="58">
        <v>36</v>
      </c>
      <c r="K109" s="58">
        <v>36</v>
      </c>
      <c r="L109" s="58"/>
      <c r="M109" s="58">
        <v>6</v>
      </c>
      <c r="N109" s="58" t="s">
        <v>177</v>
      </c>
      <c r="O109" s="71" t="s">
        <v>107</v>
      </c>
      <c r="P109" s="71" t="s">
        <v>123</v>
      </c>
      <c r="Q109" s="70" t="s">
        <v>55</v>
      </c>
    </row>
    <row r="110" ht="28" customHeight="1" spans="1:17">
      <c r="A110" s="61"/>
      <c r="B110" s="83"/>
      <c r="C110" s="58" t="s">
        <v>318</v>
      </c>
      <c r="D110" s="74" t="s">
        <v>319</v>
      </c>
      <c r="E110" s="75" t="s">
        <v>319</v>
      </c>
      <c r="F110" s="76" t="s">
        <v>319</v>
      </c>
      <c r="G110" s="58">
        <v>2</v>
      </c>
      <c r="H110" s="58">
        <v>2</v>
      </c>
      <c r="I110" s="58"/>
      <c r="J110" s="58">
        <v>36</v>
      </c>
      <c r="K110" s="58">
        <v>36</v>
      </c>
      <c r="L110" s="58"/>
      <c r="M110" s="58">
        <v>6</v>
      </c>
      <c r="N110" s="58" t="s">
        <v>320</v>
      </c>
      <c r="O110" s="71" t="s">
        <v>107</v>
      </c>
      <c r="P110" s="71" t="s">
        <v>123</v>
      </c>
      <c r="Q110" s="70" t="s">
        <v>55</v>
      </c>
    </row>
    <row r="111" ht="28" customHeight="1" spans="1:17">
      <c r="A111" s="61"/>
      <c r="B111" s="83"/>
      <c r="C111" s="58" t="s">
        <v>321</v>
      </c>
      <c r="D111" s="74" t="s">
        <v>322</v>
      </c>
      <c r="E111" s="75" t="s">
        <v>322</v>
      </c>
      <c r="F111" s="76" t="s">
        <v>322</v>
      </c>
      <c r="G111" s="58">
        <v>2</v>
      </c>
      <c r="H111" s="58">
        <v>2</v>
      </c>
      <c r="I111" s="58"/>
      <c r="J111" s="58">
        <v>36</v>
      </c>
      <c r="K111" s="58">
        <v>36</v>
      </c>
      <c r="L111" s="58"/>
      <c r="M111" s="58">
        <v>6</v>
      </c>
      <c r="N111" s="58" t="s">
        <v>97</v>
      </c>
      <c r="O111" s="71" t="s">
        <v>107</v>
      </c>
      <c r="P111" s="71" t="s">
        <v>123</v>
      </c>
      <c r="Q111" s="70" t="s">
        <v>55</v>
      </c>
    </row>
    <row r="112" ht="28" customHeight="1" spans="1:17">
      <c r="A112" s="61"/>
      <c r="B112" s="83"/>
      <c r="C112" s="58" t="s">
        <v>323</v>
      </c>
      <c r="D112" s="74" t="s">
        <v>324</v>
      </c>
      <c r="E112" s="75" t="s">
        <v>324</v>
      </c>
      <c r="F112" s="76" t="s">
        <v>324</v>
      </c>
      <c r="G112" s="58">
        <v>2</v>
      </c>
      <c r="H112" s="58">
        <v>2</v>
      </c>
      <c r="I112" s="58"/>
      <c r="J112" s="58">
        <v>36</v>
      </c>
      <c r="K112" s="58">
        <v>36</v>
      </c>
      <c r="L112" s="58"/>
      <c r="M112" s="58">
        <v>6</v>
      </c>
      <c r="N112" s="58" t="s">
        <v>235</v>
      </c>
      <c r="O112" s="71" t="s">
        <v>107</v>
      </c>
      <c r="P112" s="71" t="s">
        <v>123</v>
      </c>
      <c r="Q112" s="70" t="s">
        <v>55</v>
      </c>
    </row>
    <row r="113" ht="28" customHeight="1" spans="1:17">
      <c r="A113" s="61"/>
      <c r="B113" s="83"/>
      <c r="C113" s="58" t="s">
        <v>325</v>
      </c>
      <c r="D113" s="74" t="s">
        <v>326</v>
      </c>
      <c r="E113" s="75" t="s">
        <v>326</v>
      </c>
      <c r="F113" s="76" t="s">
        <v>326</v>
      </c>
      <c r="G113" s="58">
        <v>2</v>
      </c>
      <c r="H113" s="58">
        <v>2</v>
      </c>
      <c r="I113" s="58"/>
      <c r="J113" s="58">
        <v>36</v>
      </c>
      <c r="K113" s="58">
        <v>36</v>
      </c>
      <c r="L113" s="58"/>
      <c r="M113" s="58">
        <v>6</v>
      </c>
      <c r="N113" s="58" t="s">
        <v>185</v>
      </c>
      <c r="O113" s="71" t="s">
        <v>107</v>
      </c>
      <c r="P113" s="71" t="s">
        <v>123</v>
      </c>
      <c r="Q113" s="70" t="s">
        <v>55</v>
      </c>
    </row>
    <row r="114" ht="28" customHeight="1" spans="1:17">
      <c r="A114" s="61"/>
      <c r="B114" s="83"/>
      <c r="C114" s="58" t="s">
        <v>327</v>
      </c>
      <c r="D114" s="74" t="s">
        <v>328</v>
      </c>
      <c r="E114" s="75" t="s">
        <v>328</v>
      </c>
      <c r="F114" s="76" t="s">
        <v>328</v>
      </c>
      <c r="G114" s="58">
        <v>2</v>
      </c>
      <c r="H114" s="58">
        <v>2</v>
      </c>
      <c r="I114" s="58"/>
      <c r="J114" s="58">
        <v>36</v>
      </c>
      <c r="K114" s="58">
        <v>36</v>
      </c>
      <c r="L114" s="58"/>
      <c r="M114" s="58">
        <v>6</v>
      </c>
      <c r="N114" s="58" t="s">
        <v>310</v>
      </c>
      <c r="O114" s="71" t="s">
        <v>107</v>
      </c>
      <c r="P114" s="71" t="s">
        <v>123</v>
      </c>
      <c r="Q114" s="70" t="s">
        <v>55</v>
      </c>
    </row>
    <row r="115" ht="28" customHeight="1" spans="1:17">
      <c r="A115" s="61"/>
      <c r="B115" s="83"/>
      <c r="C115" s="58" t="s">
        <v>329</v>
      </c>
      <c r="D115" s="74" t="s">
        <v>330</v>
      </c>
      <c r="E115" s="75" t="s">
        <v>330</v>
      </c>
      <c r="F115" s="76" t="s">
        <v>330</v>
      </c>
      <c r="G115" s="58">
        <v>2</v>
      </c>
      <c r="H115" s="58">
        <v>2</v>
      </c>
      <c r="I115" s="58"/>
      <c r="J115" s="58">
        <v>36</v>
      </c>
      <c r="K115" s="58">
        <v>36</v>
      </c>
      <c r="L115" s="58"/>
      <c r="M115" s="58">
        <v>6</v>
      </c>
      <c r="N115" s="58" t="s">
        <v>196</v>
      </c>
      <c r="O115" s="71" t="s">
        <v>107</v>
      </c>
      <c r="P115" s="71" t="s">
        <v>123</v>
      </c>
      <c r="Q115" s="70" t="s">
        <v>55</v>
      </c>
    </row>
    <row r="116" ht="28" customHeight="1" spans="1:17">
      <c r="A116" s="61"/>
      <c r="B116" s="83"/>
      <c r="C116" s="58" t="s">
        <v>331</v>
      </c>
      <c r="D116" s="74" t="s">
        <v>332</v>
      </c>
      <c r="E116" s="75"/>
      <c r="F116" s="76"/>
      <c r="G116" s="58">
        <v>2</v>
      </c>
      <c r="H116" s="58">
        <v>2</v>
      </c>
      <c r="I116" s="58"/>
      <c r="J116" s="58">
        <v>36</v>
      </c>
      <c r="K116" s="58">
        <v>36</v>
      </c>
      <c r="L116" s="58"/>
      <c r="M116" s="62">
        <v>7</v>
      </c>
      <c r="N116" s="58" t="s">
        <v>333</v>
      </c>
      <c r="O116" s="71" t="s">
        <v>107</v>
      </c>
      <c r="P116" s="71" t="s">
        <v>334</v>
      </c>
      <c r="Q116" s="70" t="s">
        <v>55</v>
      </c>
    </row>
    <row r="117" ht="28" customHeight="1" spans="1:17">
      <c r="A117" s="61"/>
      <c r="B117" s="83"/>
      <c r="C117" s="58" t="s">
        <v>335</v>
      </c>
      <c r="D117" s="74" t="s">
        <v>336</v>
      </c>
      <c r="E117" s="75"/>
      <c r="F117" s="76"/>
      <c r="G117" s="58">
        <v>3</v>
      </c>
      <c r="H117" s="58">
        <v>3</v>
      </c>
      <c r="I117" s="58"/>
      <c r="J117" s="58">
        <v>54</v>
      </c>
      <c r="K117" s="58">
        <v>54</v>
      </c>
      <c r="L117" s="58"/>
      <c r="M117" s="62">
        <v>7</v>
      </c>
      <c r="N117" s="58" t="s">
        <v>333</v>
      </c>
      <c r="O117" s="71" t="s">
        <v>107</v>
      </c>
      <c r="P117" s="71" t="s">
        <v>337</v>
      </c>
      <c r="Q117" s="70" t="s">
        <v>55</v>
      </c>
    </row>
    <row r="118" ht="28" customHeight="1" spans="1:17">
      <c r="A118" s="61"/>
      <c r="B118" s="83"/>
      <c r="C118" s="58" t="s">
        <v>338</v>
      </c>
      <c r="D118" s="74" t="s">
        <v>339</v>
      </c>
      <c r="E118" s="75"/>
      <c r="F118" s="76"/>
      <c r="G118" s="58">
        <v>2</v>
      </c>
      <c r="H118" s="58">
        <v>2</v>
      </c>
      <c r="I118" s="58"/>
      <c r="J118" s="58">
        <v>36</v>
      </c>
      <c r="K118" s="58">
        <v>36</v>
      </c>
      <c r="L118" s="58"/>
      <c r="M118" s="62">
        <v>7</v>
      </c>
      <c r="N118" s="58" t="s">
        <v>340</v>
      </c>
      <c r="O118" s="71" t="s">
        <v>107</v>
      </c>
      <c r="P118" s="71" t="s">
        <v>123</v>
      </c>
      <c r="Q118" s="70" t="s">
        <v>55</v>
      </c>
    </row>
    <row r="119" ht="28" customHeight="1" spans="1:17">
      <c r="A119" s="61"/>
      <c r="B119" s="83"/>
      <c r="C119" s="58" t="s">
        <v>341</v>
      </c>
      <c r="D119" s="74" t="s">
        <v>342</v>
      </c>
      <c r="E119" s="75"/>
      <c r="F119" s="76"/>
      <c r="G119" s="58">
        <v>2</v>
      </c>
      <c r="H119" s="58">
        <v>2</v>
      </c>
      <c r="I119" s="58"/>
      <c r="J119" s="58">
        <v>36</v>
      </c>
      <c r="K119" s="58">
        <v>36</v>
      </c>
      <c r="L119" s="58"/>
      <c r="M119" s="62">
        <v>7</v>
      </c>
      <c r="N119" s="58" t="s">
        <v>196</v>
      </c>
      <c r="O119" s="71" t="s">
        <v>107</v>
      </c>
      <c r="P119" s="71" t="s">
        <v>123</v>
      </c>
      <c r="Q119" s="70" t="s">
        <v>55</v>
      </c>
    </row>
    <row r="120" ht="28" customHeight="1" spans="1:17">
      <c r="A120" s="61"/>
      <c r="B120" s="83"/>
      <c r="C120" s="58" t="s">
        <v>343</v>
      </c>
      <c r="D120" s="74" t="s">
        <v>344</v>
      </c>
      <c r="E120" s="75"/>
      <c r="F120" s="76"/>
      <c r="G120" s="58">
        <v>2</v>
      </c>
      <c r="H120" s="58">
        <v>2</v>
      </c>
      <c r="I120" s="58"/>
      <c r="J120" s="58">
        <v>36</v>
      </c>
      <c r="K120" s="58">
        <v>36</v>
      </c>
      <c r="L120" s="58"/>
      <c r="M120" s="62">
        <v>7</v>
      </c>
      <c r="N120" s="58" t="s">
        <v>232</v>
      </c>
      <c r="O120" s="71" t="s">
        <v>107</v>
      </c>
      <c r="P120" s="71" t="s">
        <v>123</v>
      </c>
      <c r="Q120" s="70" t="s">
        <v>55</v>
      </c>
    </row>
    <row r="121" ht="28" customHeight="1" spans="1:17">
      <c r="A121" s="61"/>
      <c r="B121" s="83"/>
      <c r="C121" s="58" t="s">
        <v>345</v>
      </c>
      <c r="D121" s="74" t="s">
        <v>346</v>
      </c>
      <c r="E121" s="75"/>
      <c r="F121" s="76"/>
      <c r="G121" s="58">
        <v>2</v>
      </c>
      <c r="H121" s="58">
        <v>2</v>
      </c>
      <c r="I121" s="58"/>
      <c r="J121" s="58">
        <v>36</v>
      </c>
      <c r="K121" s="58">
        <v>36</v>
      </c>
      <c r="L121" s="58"/>
      <c r="M121" s="62">
        <v>7</v>
      </c>
      <c r="N121" s="58" t="s">
        <v>122</v>
      </c>
      <c r="O121" s="71" t="s">
        <v>107</v>
      </c>
      <c r="P121" s="71" t="s">
        <v>123</v>
      </c>
      <c r="Q121" s="70" t="s">
        <v>55</v>
      </c>
    </row>
    <row r="122" ht="28" customHeight="1" spans="1:17">
      <c r="A122" s="61"/>
      <c r="B122" s="83"/>
      <c r="C122" s="58" t="s">
        <v>347</v>
      </c>
      <c r="D122" s="74" t="s">
        <v>348</v>
      </c>
      <c r="E122" s="75"/>
      <c r="F122" s="76"/>
      <c r="G122" s="58">
        <v>2</v>
      </c>
      <c r="H122" s="58">
        <v>2</v>
      </c>
      <c r="I122" s="58"/>
      <c r="J122" s="58">
        <v>36</v>
      </c>
      <c r="K122" s="58">
        <v>36</v>
      </c>
      <c r="L122" s="58"/>
      <c r="M122" s="62">
        <v>8</v>
      </c>
      <c r="N122" s="58" t="s">
        <v>149</v>
      </c>
      <c r="O122" s="71" t="s">
        <v>55</v>
      </c>
      <c r="P122" s="71" t="s">
        <v>123</v>
      </c>
      <c r="Q122" s="70" t="s">
        <v>55</v>
      </c>
    </row>
    <row r="123" ht="28" customHeight="1" spans="1:17">
      <c r="A123" s="61"/>
      <c r="B123" s="83"/>
      <c r="C123" s="58" t="s">
        <v>349</v>
      </c>
      <c r="D123" s="74" t="s">
        <v>350</v>
      </c>
      <c r="E123" s="75"/>
      <c r="F123" s="76"/>
      <c r="G123" s="58">
        <v>2</v>
      </c>
      <c r="H123" s="58">
        <v>2</v>
      </c>
      <c r="I123" s="58"/>
      <c r="J123" s="58">
        <v>36</v>
      </c>
      <c r="K123" s="58">
        <v>36</v>
      </c>
      <c r="L123" s="58"/>
      <c r="M123" s="62">
        <v>8</v>
      </c>
      <c r="N123" s="58" t="s">
        <v>288</v>
      </c>
      <c r="O123" s="71" t="s">
        <v>55</v>
      </c>
      <c r="P123" s="71" t="s">
        <v>123</v>
      </c>
      <c r="Q123" s="70" t="s">
        <v>55</v>
      </c>
    </row>
    <row r="124" ht="28" customHeight="1" spans="1:17">
      <c r="A124" s="61"/>
      <c r="B124" s="83"/>
      <c r="C124" s="58" t="s">
        <v>351</v>
      </c>
      <c r="D124" s="74" t="s">
        <v>352</v>
      </c>
      <c r="E124" s="75"/>
      <c r="F124" s="76"/>
      <c r="G124" s="58">
        <v>2</v>
      </c>
      <c r="H124" s="58">
        <v>2</v>
      </c>
      <c r="I124" s="58"/>
      <c r="J124" s="58">
        <v>36</v>
      </c>
      <c r="K124" s="58">
        <v>36</v>
      </c>
      <c r="L124" s="58"/>
      <c r="M124" s="62">
        <v>8</v>
      </c>
      <c r="N124" s="58" t="s">
        <v>211</v>
      </c>
      <c r="O124" s="71" t="s">
        <v>55</v>
      </c>
      <c r="P124" s="71" t="s">
        <v>123</v>
      </c>
      <c r="Q124" s="70" t="s">
        <v>55</v>
      </c>
    </row>
    <row r="125" ht="28" customHeight="1" spans="1:17">
      <c r="A125" s="61"/>
      <c r="B125" s="83"/>
      <c r="C125" s="58" t="s">
        <v>353</v>
      </c>
      <c r="D125" s="74" t="s">
        <v>354</v>
      </c>
      <c r="E125" s="75"/>
      <c r="F125" s="76"/>
      <c r="G125" s="58">
        <v>2</v>
      </c>
      <c r="H125" s="58">
        <v>2</v>
      </c>
      <c r="I125" s="58"/>
      <c r="J125" s="58">
        <v>36</v>
      </c>
      <c r="K125" s="58">
        <v>36</v>
      </c>
      <c r="L125" s="58"/>
      <c r="M125" s="62">
        <v>8</v>
      </c>
      <c r="N125" s="58" t="s">
        <v>211</v>
      </c>
      <c r="O125" s="71" t="s">
        <v>55</v>
      </c>
      <c r="P125" s="71" t="s">
        <v>123</v>
      </c>
      <c r="Q125" s="70" t="s">
        <v>55</v>
      </c>
    </row>
    <row r="126" ht="17.4" customHeight="1" spans="1:17">
      <c r="A126" s="84" t="s">
        <v>355</v>
      </c>
      <c r="B126" s="84"/>
      <c r="C126" s="84"/>
      <c r="D126" s="84"/>
      <c r="E126" s="84"/>
      <c r="F126" s="84"/>
      <c r="G126" s="84"/>
      <c r="H126" s="84"/>
      <c r="I126" s="84"/>
      <c r="J126" s="84"/>
      <c r="K126" s="84"/>
      <c r="L126" s="84"/>
      <c r="M126" s="84"/>
      <c r="N126" s="84"/>
      <c r="O126" s="84"/>
      <c r="P126" s="84"/>
      <c r="Q126" s="84"/>
    </row>
    <row r="127" s="7" customFormat="1" ht="34.2" customHeight="1" spans="1:17">
      <c r="A127" s="85" t="s">
        <v>356</v>
      </c>
      <c r="B127" s="85"/>
      <c r="C127" s="85" t="s">
        <v>357</v>
      </c>
      <c r="D127" s="85" t="s">
        <v>358</v>
      </c>
      <c r="E127" s="85" t="s">
        <v>359</v>
      </c>
      <c r="F127" s="85" t="s">
        <v>360</v>
      </c>
      <c r="G127" s="85" t="s">
        <v>361</v>
      </c>
      <c r="H127" s="85"/>
      <c r="I127" s="85"/>
      <c r="J127" s="85"/>
      <c r="K127" s="85"/>
      <c r="L127" s="85"/>
      <c r="M127" s="85" t="s">
        <v>362</v>
      </c>
      <c r="N127" s="85"/>
      <c r="O127" s="85"/>
      <c r="P127" s="85"/>
      <c r="Q127" s="85"/>
    </row>
    <row r="128" ht="14.4" customHeight="1" spans="1:17">
      <c r="A128" s="43" t="s">
        <v>363</v>
      </c>
      <c r="B128" s="43"/>
      <c r="C128" s="43" t="s">
        <v>364</v>
      </c>
      <c r="D128" s="58">
        <v>13</v>
      </c>
      <c r="E128" s="58">
        <v>11</v>
      </c>
      <c r="F128" s="58">
        <v>4</v>
      </c>
      <c r="G128" s="74">
        <v>2</v>
      </c>
      <c r="H128" s="75"/>
      <c r="I128" s="75"/>
      <c r="J128" s="75"/>
      <c r="K128" s="75"/>
      <c r="L128" s="76"/>
      <c r="M128" s="87" t="s">
        <v>88</v>
      </c>
      <c r="N128" s="87"/>
      <c r="O128" s="87"/>
      <c r="P128" s="87"/>
      <c r="Q128" s="87"/>
    </row>
    <row r="129" spans="1:17">
      <c r="A129" s="43"/>
      <c r="B129" s="43"/>
      <c r="C129" s="43" t="s">
        <v>365</v>
      </c>
      <c r="D129" s="58">
        <v>9</v>
      </c>
      <c r="E129" s="58">
        <v>6</v>
      </c>
      <c r="F129" s="58">
        <v>10</v>
      </c>
      <c r="G129" s="74">
        <v>6</v>
      </c>
      <c r="H129" s="75"/>
      <c r="I129" s="75"/>
      <c r="J129" s="75"/>
      <c r="K129" s="75"/>
      <c r="L129" s="76"/>
      <c r="M129" s="87"/>
      <c r="N129" s="87"/>
      <c r="O129" s="87"/>
      <c r="P129" s="87"/>
      <c r="Q129" s="87"/>
    </row>
    <row r="130" spans="1:17">
      <c r="A130" s="43" t="s">
        <v>366</v>
      </c>
      <c r="B130" s="43"/>
      <c r="C130" s="43" t="s">
        <v>367</v>
      </c>
      <c r="D130" s="58">
        <v>5.5</v>
      </c>
      <c r="E130" s="58">
        <v>8</v>
      </c>
      <c r="F130" s="58">
        <v>14</v>
      </c>
      <c r="G130" s="74">
        <v>6</v>
      </c>
      <c r="H130" s="75"/>
      <c r="I130" s="75"/>
      <c r="J130" s="75"/>
      <c r="K130" s="75"/>
      <c r="L130" s="76"/>
      <c r="M130" s="87"/>
      <c r="N130" s="87"/>
      <c r="O130" s="87"/>
      <c r="P130" s="87"/>
      <c r="Q130" s="87"/>
    </row>
    <row r="131" spans="1:17">
      <c r="A131" s="43"/>
      <c r="B131" s="43"/>
      <c r="C131" s="43" t="s">
        <v>368</v>
      </c>
      <c r="D131" s="58">
        <v>5.5</v>
      </c>
      <c r="E131" s="58">
        <v>11</v>
      </c>
      <c r="F131" s="58">
        <v>16</v>
      </c>
      <c r="G131" s="74">
        <v>6</v>
      </c>
      <c r="H131" s="75"/>
      <c r="I131" s="75"/>
      <c r="J131" s="75"/>
      <c r="K131" s="75"/>
      <c r="L131" s="76"/>
      <c r="M131" s="87"/>
      <c r="N131" s="87"/>
      <c r="O131" s="87"/>
      <c r="P131" s="87"/>
      <c r="Q131" s="87"/>
    </row>
    <row r="132" spans="1:17">
      <c r="A132" s="43" t="s">
        <v>369</v>
      </c>
      <c r="B132" s="43"/>
      <c r="C132" s="43" t="s">
        <v>370</v>
      </c>
      <c r="D132" s="58">
        <v>0.5</v>
      </c>
      <c r="E132" s="58">
        <v>11</v>
      </c>
      <c r="F132" s="58">
        <v>20</v>
      </c>
      <c r="G132" s="74">
        <v>8</v>
      </c>
      <c r="H132" s="75"/>
      <c r="I132" s="75"/>
      <c r="J132" s="75"/>
      <c r="K132" s="75"/>
      <c r="L132" s="76"/>
      <c r="M132" s="87"/>
      <c r="N132" s="87"/>
      <c r="O132" s="87"/>
      <c r="P132" s="87"/>
      <c r="Q132" s="87"/>
    </row>
    <row r="133" spans="1:17">
      <c r="A133" s="43"/>
      <c r="B133" s="43"/>
      <c r="C133" s="43" t="s">
        <v>371</v>
      </c>
      <c r="D133" s="58">
        <v>0.5</v>
      </c>
      <c r="E133" s="58">
        <v>5</v>
      </c>
      <c r="F133" s="58">
        <v>43</v>
      </c>
      <c r="G133" s="74">
        <v>6</v>
      </c>
      <c r="H133" s="75"/>
      <c r="I133" s="75"/>
      <c r="J133" s="75"/>
      <c r="K133" s="75"/>
      <c r="L133" s="76"/>
      <c r="M133" s="87"/>
      <c r="N133" s="87"/>
      <c r="O133" s="87"/>
      <c r="P133" s="87"/>
      <c r="Q133" s="87"/>
    </row>
    <row r="134" spans="1:17">
      <c r="A134" s="43" t="s">
        <v>372</v>
      </c>
      <c r="B134" s="43"/>
      <c r="C134" s="43" t="s">
        <v>373</v>
      </c>
      <c r="D134" s="58">
        <v>0</v>
      </c>
      <c r="E134" s="58">
        <v>6</v>
      </c>
      <c r="F134" s="58">
        <v>20</v>
      </c>
      <c r="G134" s="74">
        <v>2</v>
      </c>
      <c r="H134" s="75"/>
      <c r="I134" s="75"/>
      <c r="J134" s="75"/>
      <c r="K134" s="75"/>
      <c r="L134" s="76"/>
      <c r="M134" s="87"/>
      <c r="N134" s="87"/>
      <c r="O134" s="87"/>
      <c r="P134" s="87"/>
      <c r="Q134" s="87"/>
    </row>
    <row r="135" spans="1:17">
      <c r="A135" s="43"/>
      <c r="B135" s="43"/>
      <c r="C135" s="43" t="s">
        <v>374</v>
      </c>
      <c r="D135" s="58">
        <v>5</v>
      </c>
      <c r="E135" s="58">
        <v>6</v>
      </c>
      <c r="F135" s="58">
        <v>8</v>
      </c>
      <c r="G135" s="74">
        <v>0</v>
      </c>
      <c r="H135" s="75"/>
      <c r="I135" s="75"/>
      <c r="J135" s="75"/>
      <c r="K135" s="75"/>
      <c r="L135" s="76"/>
      <c r="M135" s="87"/>
      <c r="N135" s="87"/>
      <c r="O135" s="87"/>
      <c r="P135" s="87"/>
      <c r="Q135" s="87"/>
    </row>
    <row r="136" ht="14.4" customHeight="1" spans="1:18">
      <c r="A136" s="88" t="s">
        <v>375</v>
      </c>
      <c r="B136" s="88"/>
      <c r="C136" s="88"/>
      <c r="D136" s="58">
        <v>39</v>
      </c>
      <c r="E136" s="58">
        <f t="shared" ref="E136:G136" si="0">SUM(E128:E135)</f>
        <v>64</v>
      </c>
      <c r="F136" s="58">
        <f t="shared" si="0"/>
        <v>135</v>
      </c>
      <c r="G136" s="55">
        <f t="shared" si="0"/>
        <v>36</v>
      </c>
      <c r="H136" s="56"/>
      <c r="I136" s="56"/>
      <c r="J136" s="56"/>
      <c r="K136" s="56"/>
      <c r="L136" s="57"/>
      <c r="M136" s="43">
        <v>8</v>
      </c>
      <c r="N136" s="43"/>
      <c r="O136" s="43"/>
      <c r="P136" s="43"/>
      <c r="Q136" s="43"/>
      <c r="R136" s="6">
        <f>D136+E136+G136+M136</f>
        <v>147</v>
      </c>
    </row>
  </sheetData>
  <autoFilter xmlns:etc="http://www.wps.cn/officeDocument/2017/etCustomData" ref="A24:Q136" etc:filterBottomFollowUsedRange="0">
    <extLst/>
  </autoFilter>
  <mergeCells count="189">
    <mergeCell ref="A1:Q1"/>
    <mergeCell ref="A2:Q2"/>
    <mergeCell ref="A3:Q3"/>
    <mergeCell ref="A4:Q4"/>
    <mergeCell ref="A7:Q7"/>
    <mergeCell ref="A8:Q8"/>
    <mergeCell ref="A9:Q9"/>
    <mergeCell ref="A10:D10"/>
    <mergeCell ref="E10:F10"/>
    <mergeCell ref="G10:L10"/>
    <mergeCell ref="M10:Q10"/>
    <mergeCell ref="A11:D11"/>
    <mergeCell ref="E11:F11"/>
    <mergeCell ref="G11:L11"/>
    <mergeCell ref="M11:Q11"/>
    <mergeCell ref="A12:D12"/>
    <mergeCell ref="E12:F12"/>
    <mergeCell ref="G12:L12"/>
    <mergeCell ref="M12:Q12"/>
    <mergeCell ref="C13:D13"/>
    <mergeCell ref="E13:F13"/>
    <mergeCell ref="C14:D14"/>
    <mergeCell ref="E14:F14"/>
    <mergeCell ref="C15:D15"/>
    <mergeCell ref="E15:F15"/>
    <mergeCell ref="C16:D16"/>
    <mergeCell ref="E16:F16"/>
    <mergeCell ref="A17:D17"/>
    <mergeCell ref="E17:F17"/>
    <mergeCell ref="G17:L17"/>
    <mergeCell ref="M17:Q17"/>
    <mergeCell ref="A18:D18"/>
    <mergeCell ref="E18:F18"/>
    <mergeCell ref="G18:L18"/>
    <mergeCell ref="M18:Q18"/>
    <mergeCell ref="A19:C19"/>
    <mergeCell ref="G19:K19"/>
    <mergeCell ref="N19:P19"/>
    <mergeCell ref="A20:C20"/>
    <mergeCell ref="D20:Q20"/>
    <mergeCell ref="A21:C21"/>
    <mergeCell ref="D21:Q21"/>
    <mergeCell ref="A22:Q22"/>
    <mergeCell ref="G23:I23"/>
    <mergeCell ref="J23:L23"/>
    <mergeCell ref="D25:F25"/>
    <mergeCell ref="D26:F26"/>
    <mergeCell ref="D27:F27"/>
    <mergeCell ref="D28:F28"/>
    <mergeCell ref="D29:F29"/>
    <mergeCell ref="D30:F30"/>
    <mergeCell ref="D31:F31"/>
    <mergeCell ref="D32:F32"/>
    <mergeCell ref="D33:F33"/>
    <mergeCell ref="D34:F34"/>
    <mergeCell ref="D35:F35"/>
    <mergeCell ref="D36:F36"/>
    <mergeCell ref="D37:F37"/>
    <mergeCell ref="A38:B38"/>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7:F67"/>
    <mergeCell ref="D68:F68"/>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D85:F85"/>
    <mergeCell ref="D86:F86"/>
    <mergeCell ref="D87:F87"/>
    <mergeCell ref="D88:F88"/>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F102"/>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15:F115"/>
    <mergeCell ref="D116:F116"/>
    <mergeCell ref="D117:F117"/>
    <mergeCell ref="D118:F118"/>
    <mergeCell ref="D119:F119"/>
    <mergeCell ref="D120:F120"/>
    <mergeCell ref="D121:F121"/>
    <mergeCell ref="D122:F122"/>
    <mergeCell ref="D123:F123"/>
    <mergeCell ref="D124:F124"/>
    <mergeCell ref="D125:F125"/>
    <mergeCell ref="A126:Q126"/>
    <mergeCell ref="A127:B127"/>
    <mergeCell ref="G127:L127"/>
    <mergeCell ref="M127:Q127"/>
    <mergeCell ref="G128:L128"/>
    <mergeCell ref="G129:L129"/>
    <mergeCell ref="G130:L130"/>
    <mergeCell ref="G131:L131"/>
    <mergeCell ref="G132:L132"/>
    <mergeCell ref="G133:L133"/>
    <mergeCell ref="G134:L134"/>
    <mergeCell ref="G135:L135"/>
    <mergeCell ref="A136:C136"/>
    <mergeCell ref="G136:L136"/>
    <mergeCell ref="M136:Q136"/>
    <mergeCell ref="A39:A61"/>
    <mergeCell ref="A62:A125"/>
    <mergeCell ref="B39:B41"/>
    <mergeCell ref="B42:B49"/>
    <mergeCell ref="B50:B58"/>
    <mergeCell ref="B59:B61"/>
    <mergeCell ref="B62:B89"/>
    <mergeCell ref="B90:B104"/>
    <mergeCell ref="B105:B125"/>
    <mergeCell ref="C23:C24"/>
    <mergeCell ref="M23:M24"/>
    <mergeCell ref="N23:N24"/>
    <mergeCell ref="O23:O24"/>
    <mergeCell ref="P23:P24"/>
    <mergeCell ref="Q23:Q24"/>
    <mergeCell ref="A5:Q6"/>
    <mergeCell ref="M13:Q16"/>
    <mergeCell ref="A13:B16"/>
    <mergeCell ref="D23:F24"/>
    <mergeCell ref="G13:L16"/>
    <mergeCell ref="A25:B37"/>
    <mergeCell ref="A23:B24"/>
    <mergeCell ref="A130:B131"/>
    <mergeCell ref="A128:B129"/>
    <mergeCell ref="A134:B135"/>
    <mergeCell ref="A132:B133"/>
    <mergeCell ref="M128:Q135"/>
  </mergeCells>
  <dataValidations count="1">
    <dataValidation type="list" allowBlank="1" showInputMessage="1" showErrorMessage="1" sqref="O25:O125 Q39:Q125">
      <formula1>"下拉选择,是,否"</formula1>
    </dataValidation>
  </dataValidation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主修专业培养方案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zying</cp:lastModifiedBy>
  <dcterms:created xsi:type="dcterms:W3CDTF">2015-06-05T18:19:00Z</dcterms:created>
  <dcterms:modified xsi:type="dcterms:W3CDTF">2025-06-16T11:03:56Z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8F1C85FF73944DD3B041B7F3D7386CDB_12</vt:lpwstr>
  </property>
  <property fmtid="{D5CDD505-2E9C-101B-9397-08002B2CF9AE}" pid="3" name="KSOProductBuildVer">
    <vt:lpwstr>2052-12.1.0.19770</vt:lpwstr>
  </property>
</Properties>
</file>